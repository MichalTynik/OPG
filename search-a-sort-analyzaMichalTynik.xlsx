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earch" sheetId="1" state="visible" r:id="rId3"/>
    <sheet name="Sort rovnomerné data" sheetId="2" state="visible" r:id="rId4"/>
    <sheet name="Sort kolísavo rastúce data" sheetId="3" state="visible" r:id="rId5"/>
    <sheet name="Sort kolísavo klesajúce data" sheetId="4" state="visible" r:id="rId6"/>
    <sheet name="Graf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<sst xmlns="http://schemas.openxmlformats.org/spreadsheetml/2006/main" count="178" uniqueCount="37">
  <si>
    <t xml:space="preserve">Linear Search O(N)</t>
  </si>
  <si>
    <r>
      <rPr>
        <b val="true"/>
        <sz val="16"/>
        <color theme="1"/>
        <rFont val="Calibri"/>
        <family val="2"/>
        <charset val="238"/>
      </rPr>
      <t xml:space="preserve">Binary Search O(log</t>
    </r>
    <r>
      <rPr>
        <b val="true"/>
        <sz val="10"/>
        <color theme="1"/>
        <rFont val="Calibri"/>
        <family val="2"/>
        <charset val="238"/>
      </rPr>
      <t xml:space="preserve">(2)</t>
    </r>
    <r>
      <rPr>
        <b val="true"/>
        <sz val="16"/>
        <color theme="1"/>
        <rFont val="Calibri"/>
        <family val="2"/>
        <charset val="238"/>
      </rPr>
      <t xml:space="preserve">N)</t>
    </r>
  </si>
  <si>
    <t xml:space="preserve">Hľadaná hodnota</t>
  </si>
  <si>
    <t xml:space="preserve">Na pozícii</t>
  </si>
  <si>
    <t xml:space="preserve">Doba hľadania (ms)</t>
  </si>
  <si>
    <t xml:space="preserve">Počet porovnaní</t>
  </si>
  <si>
    <t xml:space="preserve">Priemerná doba hľadania(ms)</t>
  </si>
  <si>
    <t xml:space="preserve">Priemerný počet porovnaní</t>
  </si>
  <si>
    <t xml:space="preserve">Sada N1=</t>
  </si>
  <si>
    <t xml:space="preserve">teoretická</t>
  </si>
  <si>
    <t xml:space="preserve">teoretický</t>
  </si>
  <si>
    <t xml:space="preserve">skutočná</t>
  </si>
  <si>
    <t xml:space="preserve">skutočný</t>
  </si>
  <si>
    <t xml:space="preserve">Sada N2=</t>
  </si>
  <si>
    <t xml:space="preserve">Sada N=</t>
  </si>
  <si>
    <t xml:space="preserve">Random</t>
  </si>
  <si>
    <t xml:space="preserve">Počet priradení</t>
  </si>
  <si>
    <t xml:space="preserve">Algoritmus</t>
  </si>
  <si>
    <t xml:space="preserve">Výpočtová zložitosť</t>
  </si>
  <si>
    <t xml:space="preserve">Priemer</t>
  </si>
  <si>
    <t xml:space="preserve">Bubble Sort</t>
  </si>
  <si>
    <t xml:space="preserve">O(n**2 )</t>
  </si>
  <si>
    <t xml:space="preserve">Select Sort</t>
  </si>
  <si>
    <t xml:space="preserve">O(n2)</t>
  </si>
  <si>
    <t xml:space="preserve">Insert Sort</t>
  </si>
  <si>
    <t xml:space="preserve">O(n)</t>
  </si>
  <si>
    <t xml:space="preserve">Insert Sort + Binary Search</t>
  </si>
  <si>
    <t xml:space="preserve">O(n Log n)</t>
  </si>
  <si>
    <t xml:space="preserve">Quick Sort</t>
  </si>
  <si>
    <t xml:space="preserve">Merge Sort</t>
  </si>
  <si>
    <t xml:space="preserve">O(nk)</t>
  </si>
  <si>
    <t xml:space="preserve">Radix Sort</t>
  </si>
  <si>
    <t xml:space="preserve">O(n log n)</t>
  </si>
  <si>
    <t xml:space="preserve">Odhad</t>
  </si>
  <si>
    <t xml:space="preserve">199,990,000</t>
  </si>
  <si>
    <t xml:space="preserve">Random Up</t>
  </si>
  <si>
    <t xml:space="preserve">Random Down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</si>
</sst>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18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238"/>
    </font>
    <font>
      <b val="true"/>
      <sz val="16"/>
      <color theme="1"/>
      <name val="Calibri"/>
      <family val="2"/>
      <charset val="238"/>
    </font>
    <font>
      <b val="true"/>
      <sz val="10"/>
      <color theme="1"/>
      <name val="Calibri"/>
      <family val="2"/>
      <charset val="238"/>
    </font>
    <font>
      <b val="true"/>
      <sz val="11"/>
      <color theme="1"/>
      <name val="Calibri"/>
      <family val="2"/>
      <charset val="238"/>
    </font>
    <font>
      <sz val="16"/>
      <color theme="1"/>
      <name val="Calibri"/>
      <family val="2"/>
      <charset val="238"/>
    </font>
    <font>
      <i val="true"/>
      <sz val="11"/>
      <color theme="1"/>
      <name val="Calibri"/>
      <family val="2"/>
      <charset val="238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20"/>
      <color theme="1"/>
      <name val="Calibri"/>
      <family val="2"/>
      <charset val="238"/>
    </font>
    <font>
      <sz val="18"/>
      <color theme="1"/>
      <name val="Calibri"/>
      <family val="2"/>
      <charset val="238"/>
    </font>
    <font>
      <b val="true"/>
      <sz val="12"/>
      <color theme="1"/>
      <name val="Calibri"/>
      <family val="2"/>
      <charset val="238"/>
    </font>
    <font>
      <b val="true"/>
      <sz val="14"/>
      <color theme="1"/>
      <name val="Calibri"/>
      <family val="2"/>
      <charset val="238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8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0" borderId="3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4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4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4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4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0" borderId="4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5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4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5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5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5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4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4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B8B8B"/>
      <rgbColor rgb="FF8FAADC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C55A11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Linear -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Search!$H$19</c:f>
              <c:numCache>
                <c:formatCode>General</c:formatCode>
                <c:ptCount val="1"/>
                <c:pt idx="0">
                  <c:v>1070</c:v>
                </c:pt>
              </c:numCache>
            </c:numRef>
          </c:val>
        </c:ser>
        <c:ser>
          <c:idx val="1"/>
          <c:order val="1"/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Search!$H$24</c:f>
              <c:numCache>
                <c:formatCode>General</c:formatCode>
                <c:ptCount val="1"/>
                <c:pt idx="0">
                  <c:v>361</c:v>
                </c:pt>
              </c:numCache>
            </c:numRef>
          </c:val>
        </c:ser>
        <c:gapWidth val="100"/>
        <c:overlap val="0"/>
        <c:axId val="83450976"/>
        <c:axId val="61475548"/>
      </c:barChart>
      <c:catAx>
        <c:axId val="83450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1475548"/>
        <c:crosses val="autoZero"/>
        <c:auto val="1"/>
        <c:lblAlgn val="ctr"/>
        <c:lblOffset val="100"/>
        <c:noMultiLvlLbl val="0"/>
      </c:catAx>
      <c:valAx>
        <c:axId val="614755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345097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Linear -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Search!$I$19</c:f>
              <c:numCache>
                <c:formatCode>General</c:formatCode>
                <c:ptCount val="1"/>
                <c:pt idx="0">
                  <c:v>100000000</c:v>
                </c:pt>
              </c:numCache>
            </c:numRef>
          </c:val>
        </c:ser>
        <c:ser>
          <c:idx val="1"/>
          <c:order val="1"/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Search!$I$24</c:f>
              <c:numCache>
                <c:formatCode>General</c:formatCode>
                <c:ptCount val="1"/>
                <c:pt idx="0">
                  <c:v>100000000</c:v>
                </c:pt>
              </c:numCache>
            </c:numRef>
          </c:val>
        </c:ser>
        <c:gapWidth val="100"/>
        <c:overlap val="0"/>
        <c:axId val="80761699"/>
        <c:axId val="38327747"/>
      </c:barChart>
      <c:catAx>
        <c:axId val="8076169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8327747"/>
        <c:crosses val="autoZero"/>
        <c:auto val="1"/>
        <c:lblAlgn val="ctr"/>
        <c:lblOffset val="100"/>
        <c:noMultiLvlLbl val="0"/>
      </c:catAx>
      <c:valAx>
        <c:axId val="383277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076169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Binear -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Search!$M$19,Search!$M$24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gapWidth val="100"/>
        <c:overlap val="0"/>
        <c:axId val="59297261"/>
        <c:axId val="14709212"/>
      </c:barChart>
      <c:catAx>
        <c:axId val="5929726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4709212"/>
        <c:crosses val="autoZero"/>
        <c:auto val="1"/>
        <c:lblAlgn val="ctr"/>
        <c:lblOffset val="100"/>
        <c:noMultiLvlLbl val="0"/>
      </c:catAx>
      <c:valAx>
        <c:axId val="147092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929726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Binear -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Search!$N$19</c:f>
              <c:numCache>
                <c:formatCode>General</c:formatCode>
                <c:ptCount val="1"/>
                <c:pt idx="0">
                  <c:v>26.2857142857143</c:v>
                </c:pt>
              </c:numCache>
            </c:numRef>
          </c:val>
        </c:ser>
        <c:ser>
          <c:idx val="1"/>
          <c:order val="1"/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Search!$N$24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</c:ser>
        <c:gapWidth val="100"/>
        <c:overlap val="0"/>
        <c:axId val="21082598"/>
        <c:axId val="39902767"/>
      </c:barChart>
      <c:catAx>
        <c:axId val="2108259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9902767"/>
        <c:crosses val="autoZero"/>
        <c:auto val="1"/>
        <c:lblAlgn val="ctr"/>
        <c:lblOffset val="100"/>
        <c:noMultiLvlLbl val="0"/>
      </c:catAx>
      <c:valAx>
        <c:axId val="399027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108259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sk-SK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sk-SK" sz="1800" spc="-1" strike="noStrike">
                <a:solidFill>
                  <a:srgbClr val="000000"/>
                </a:solidFill>
                <a:latin typeface="Calibri"/>
              </a:rPr>
              <a:t>Porovanie - doba zoradzovania (logaritmická mierka)-ukážka z minulých rokov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10 000 random</c:v>
                </c:pt>
              </c:strCache>
            </c:strRef>
          </c:tx>
          <c:spPr>
            <a:solidFill>
              <a:srgbClr val="f4b18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9"/>
                <c:pt idx="0">
                  <c:v>117.67774</c:v>
                </c:pt>
                <c:pt idx="1">
                  <c:v>144.21836</c:v>
                </c:pt>
                <c:pt idx="2">
                  <c:v>94.13812</c:v>
                </c:pt>
                <c:pt idx="3">
                  <c:v>81.67262</c:v>
                </c:pt>
                <c:pt idx="4">
                  <c:v>50.01858</c:v>
                </c:pt>
                <c:pt idx="5">
                  <c:v>24.03704</c:v>
                </c:pt>
                <c:pt idx="6">
                  <c:v>2.48618</c:v>
                </c:pt>
                <c:pt idx="7">
                  <c:v>18.76258</c:v>
                </c:pt>
                <c:pt idx="8">
                  <c:v>0.9452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100 000 random</c:v>
                </c:pt>
              </c:strCache>
            </c:strRef>
          </c:tx>
          <c:spPr>
            <a:solidFill>
              <a:srgbClr val="c55a1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9"/>
                <c:pt idx="0">
                  <c:v>14321.05596</c:v>
                </c:pt>
                <c:pt idx="1">
                  <c:v>12920.049</c:v>
                </c:pt>
                <c:pt idx="2">
                  <c:v>8994.1803</c:v>
                </c:pt>
                <c:pt idx="3">
                  <c:v>8544.09268</c:v>
                </c:pt>
                <c:pt idx="4">
                  <c:v>3256.5818</c:v>
                </c:pt>
                <c:pt idx="5">
                  <c:v>2031.12598</c:v>
                </c:pt>
                <c:pt idx="6">
                  <c:v>13.82022</c:v>
                </c:pt>
                <c:pt idx="7">
                  <c:v>791.03566</c:v>
                </c:pt>
                <c:pt idx="8">
                  <c:v>7.41058</c:v>
                </c:pt>
              </c:numCache>
            </c:numRef>
          </c:val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10 000 čiastočne zoradené</c:v>
                </c:pt>
              </c:strCache>
            </c:strRef>
          </c:tx>
          <c:spPr>
            <a:solidFill>
              <a:srgbClr val="8faad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9"/>
                <c:pt idx="0">
                  <c:v>39.40826</c:v>
                </c:pt>
                <c:pt idx="1">
                  <c:v>0.93678</c:v>
                </c:pt>
                <c:pt idx="2">
                  <c:v>28.83034</c:v>
                </c:pt>
                <c:pt idx="3">
                  <c:v>0.70636</c:v>
                </c:pt>
                <c:pt idx="4">
                  <c:v>32.68862</c:v>
                </c:pt>
                <c:pt idx="5">
                  <c:v>0.12884</c:v>
                </c:pt>
                <c:pt idx="6">
                  <c:v>0.3828</c:v>
                </c:pt>
                <c:pt idx="7">
                  <c:v>0.43882</c:v>
                </c:pt>
                <c:pt idx="8">
                  <c:v>31.49808</c:v>
                </c:pt>
              </c:numCache>
            </c:numRef>
          </c:val>
        </c:ser>
        <c:ser>
          <c:idx val="3"/>
          <c:order val="3"/>
          <c:tx>
            <c:strRef>
              <c:f>label 3</c:f>
              <c:strCache>
                <c:ptCount val="1"/>
                <c:pt idx="0">
                  <c:v>100 000 čiastočne zoradené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3</c:f>
              <c:numCache>
                <c:formatCode>General</c:formatCode>
                <c:ptCount val="9"/>
                <c:pt idx="0">
                  <c:v>3965.89352</c:v>
                </c:pt>
                <c:pt idx="1">
                  <c:v>12.00322</c:v>
                </c:pt>
                <c:pt idx="2">
                  <c:v>2847.27214</c:v>
                </c:pt>
                <c:pt idx="3">
                  <c:v>9.0615</c:v>
                </c:pt>
                <c:pt idx="4">
                  <c:v>3213.81298</c:v>
                </c:pt>
                <c:pt idx="5">
                  <c:v>1.36682</c:v>
                </c:pt>
                <c:pt idx="6">
                  <c:v>4.64014</c:v>
                </c:pt>
                <c:pt idx="7">
                  <c:v>5.1862</c:v>
                </c:pt>
                <c:pt idx="8">
                  <c:v>3007.80952</c:v>
                </c:pt>
              </c:numCache>
            </c:numRef>
          </c:val>
        </c:ser>
        <c:gapWidth val="150"/>
        <c:overlap val="0"/>
        <c:axId val="70121619"/>
        <c:axId val="6363399"/>
      </c:barChart>
      <c:catAx>
        <c:axId val="7012161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3399"/>
        <c:crossesAt val="0.1"/>
        <c:auto val="1"/>
        <c:lblAlgn val="ctr"/>
        <c:lblOffset val="100"/>
        <c:noMultiLvlLbl val="0"/>
      </c:catAx>
      <c:valAx>
        <c:axId val="6363399"/>
        <c:scaling>
          <c:logBase val="10"/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216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135000</xdr:colOff>
      <xdr:row>5</xdr:row>
      <xdr:rowOff>30240</xdr:rowOff>
    </xdr:from>
    <xdr:to>
      <xdr:col>22</xdr:col>
      <xdr:colOff>388800</xdr:colOff>
      <xdr:row>18</xdr:row>
      <xdr:rowOff>31320</xdr:rowOff>
    </xdr:to>
    <xdr:graphicFrame>
      <xdr:nvGraphicFramePr>
        <xdr:cNvPr id="0" name=""/>
        <xdr:cNvGraphicFramePr/>
      </xdr:nvGraphicFramePr>
      <xdr:xfrm>
        <a:off x="14030640" y="1037880"/>
        <a:ext cx="575568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357840</xdr:colOff>
      <xdr:row>18</xdr:row>
      <xdr:rowOff>183600</xdr:rowOff>
    </xdr:from>
    <xdr:to>
      <xdr:col>22</xdr:col>
      <xdr:colOff>619920</xdr:colOff>
      <xdr:row>35</xdr:row>
      <xdr:rowOff>41760</xdr:rowOff>
    </xdr:to>
    <xdr:graphicFrame>
      <xdr:nvGraphicFramePr>
        <xdr:cNvPr id="1" name=""/>
        <xdr:cNvGraphicFramePr/>
      </xdr:nvGraphicFramePr>
      <xdr:xfrm>
        <a:off x="14253480" y="4429800"/>
        <a:ext cx="576396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155160</xdr:colOff>
      <xdr:row>5</xdr:row>
      <xdr:rowOff>486000</xdr:rowOff>
    </xdr:from>
    <xdr:to>
      <xdr:col>31</xdr:col>
      <xdr:colOff>409320</xdr:colOff>
      <xdr:row>20</xdr:row>
      <xdr:rowOff>48960</xdr:rowOff>
    </xdr:to>
    <xdr:graphicFrame>
      <xdr:nvGraphicFramePr>
        <xdr:cNvPr id="2" name=""/>
        <xdr:cNvGraphicFramePr/>
      </xdr:nvGraphicFramePr>
      <xdr:xfrm>
        <a:off x="20240280" y="1493640"/>
        <a:ext cx="575568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23</xdr:col>
      <xdr:colOff>403920</xdr:colOff>
      <xdr:row>21</xdr:row>
      <xdr:rowOff>66240</xdr:rowOff>
    </xdr:from>
    <xdr:to>
      <xdr:col>31</xdr:col>
      <xdr:colOff>666720</xdr:colOff>
      <xdr:row>38</xdr:row>
      <xdr:rowOff>38880</xdr:rowOff>
    </xdr:to>
    <xdr:graphicFrame>
      <xdr:nvGraphicFramePr>
        <xdr:cNvPr id="3" name=""/>
        <xdr:cNvGraphicFramePr/>
      </xdr:nvGraphicFramePr>
      <xdr:xfrm>
        <a:off x="20489040" y="4969800"/>
        <a:ext cx="576432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338760</xdr:colOff>
      <xdr:row>9</xdr:row>
      <xdr:rowOff>95400</xdr:rowOff>
    </xdr:from>
    <xdr:to>
      <xdr:col>20</xdr:col>
      <xdr:colOff>10080</xdr:colOff>
      <xdr:row>45</xdr:row>
      <xdr:rowOff>25560</xdr:rowOff>
    </xdr:to>
    <xdr:graphicFrame>
      <xdr:nvGraphicFramePr>
        <xdr:cNvPr id="4" name="Graf 6"/>
        <xdr:cNvGraphicFramePr/>
      </xdr:nvGraphicFramePr>
      <xdr:xfrm>
        <a:off x="1714320" y="1724040"/>
        <a:ext cx="12049920" cy="644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Motív Office 2013 – 2022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6"/>
  <sheetViews>
    <sheetView showFormulas="false" showGridLines="true" showRowColHeaders="true" showZeros="true" rightToLeft="false" tabSelected="false" showOutlineSymbols="true" defaultGridColor="true" view="normal" topLeftCell="C4" colorId="64" zoomScale="115" zoomScaleNormal="115" zoomScalePageLayoutView="100" workbookViewId="0">
      <selection pane="topLeft" activeCell="L13" activeCellId="0" sqref="L13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.22"/>
    <col collapsed="false" customWidth="true" hidden="false" outlineLevel="0" max="2" min="2" style="1" width="10.89"/>
    <col collapsed="false" customWidth="true" hidden="false" outlineLevel="0" max="4" min="4" style="1" width="17.33"/>
    <col collapsed="false" customWidth="true" hidden="false" outlineLevel="0" max="5" min="5" style="1" width="14.89"/>
    <col collapsed="false" customWidth="true" hidden="false" outlineLevel="0" max="6" min="6" style="1" width="14.67"/>
    <col collapsed="false" customWidth="true" hidden="false" outlineLevel="0" max="7" min="7" style="1" width="18.56"/>
    <col collapsed="false" customWidth="true" hidden="false" outlineLevel="0" max="8" min="8" style="1" width="14.44"/>
    <col collapsed="false" customWidth="true" hidden="false" outlineLevel="0" max="9" min="9" style="1" width="15.67"/>
    <col collapsed="false" customWidth="true" hidden="false" outlineLevel="0" max="12" min="12" style="1" width="11"/>
    <col collapsed="false" customWidth="true" hidden="false" outlineLevel="0" max="13" min="13" style="1" width="13.11"/>
    <col collapsed="false" customWidth="true" hidden="false" outlineLevel="0" max="14" min="14" style="1" width="16.11"/>
  </cols>
  <sheetData>
    <row r="1" customFormat="false" ht="14.25" hidden="false" customHeight="false" outlineLevel="0" collapsed="false">
      <c r="B1" s="2" t="n">
        <v>3.32192809</v>
      </c>
    </row>
    <row r="5" customFormat="false" ht="22.35" hidden="false" customHeight="false" outlineLevel="0" collapsed="false">
      <c r="E5" s="3" t="s">
        <v>0</v>
      </c>
      <c r="F5" s="3"/>
      <c r="G5" s="3"/>
      <c r="H5" s="3"/>
      <c r="I5" s="3"/>
      <c r="J5" s="3" t="s">
        <v>1</v>
      </c>
      <c r="K5" s="3"/>
      <c r="L5" s="3"/>
      <c r="M5" s="3"/>
      <c r="N5" s="3"/>
    </row>
    <row r="6" customFormat="false" ht="48" hidden="false" customHeight="true" outlineLevel="0" collapsed="false">
      <c r="D6" s="4" t="s">
        <v>2</v>
      </c>
      <c r="E6" s="5" t="s">
        <v>3</v>
      </c>
      <c r="F6" s="6" t="s">
        <v>4</v>
      </c>
      <c r="G6" s="6" t="s">
        <v>5</v>
      </c>
      <c r="H6" s="7" t="s">
        <v>6</v>
      </c>
      <c r="I6" s="8" t="s">
        <v>7</v>
      </c>
      <c r="J6" s="9" t="s">
        <v>3</v>
      </c>
      <c r="K6" s="7" t="s">
        <v>4</v>
      </c>
      <c r="L6" s="7" t="s">
        <v>5</v>
      </c>
      <c r="M6" s="7" t="s">
        <v>6</v>
      </c>
      <c r="N6" s="10" t="s">
        <v>7</v>
      </c>
    </row>
    <row r="7" customFormat="false" ht="17.25" hidden="false" customHeight="true" outlineLevel="0" collapsed="false">
      <c r="B7" s="11" t="n">
        <v>10000000</v>
      </c>
      <c r="C7" s="12" t="n">
        <v>1</v>
      </c>
      <c r="D7" s="13" t="n">
        <v>461504330</v>
      </c>
      <c r="E7" s="14" t="n">
        <v>-1</v>
      </c>
      <c r="F7" s="15" t="n">
        <v>107</v>
      </c>
      <c r="G7" s="15" t="n">
        <v>10000000</v>
      </c>
      <c r="H7" s="16" t="n">
        <f aca="false">ABS(F7:F16)</f>
        <v>107</v>
      </c>
      <c r="I7" s="17" t="n">
        <f aca="false">ABS(G7:G16)</f>
        <v>10000000</v>
      </c>
      <c r="J7" s="18" t="n">
        <v>-1</v>
      </c>
      <c r="K7" s="19" t="n">
        <v>0</v>
      </c>
      <c r="L7" s="20" t="n">
        <v>23</v>
      </c>
      <c r="M7" s="21" t="n">
        <v>0</v>
      </c>
      <c r="N7" s="17" t="n">
        <f aca="false">ABS(L7:L16)</f>
        <v>23</v>
      </c>
    </row>
    <row r="8" customFormat="false" ht="17.25" hidden="false" customHeight="true" outlineLevel="0" collapsed="false">
      <c r="B8" s="11"/>
      <c r="C8" s="22" t="n">
        <v>2</v>
      </c>
      <c r="D8" s="23" t="n">
        <v>100791487</v>
      </c>
      <c r="E8" s="24" t="n">
        <v>-1</v>
      </c>
      <c r="F8" s="25" t="n">
        <v>110</v>
      </c>
      <c r="G8" s="25" t="n">
        <v>10000000</v>
      </c>
      <c r="H8" s="16"/>
      <c r="I8" s="17"/>
      <c r="J8" s="26" t="n">
        <v>-1</v>
      </c>
      <c r="K8" s="26" t="n">
        <v>0</v>
      </c>
      <c r="L8" s="27" t="n">
        <v>23</v>
      </c>
      <c r="M8" s="21"/>
      <c r="N8" s="17"/>
    </row>
    <row r="9" customFormat="false" ht="17.25" hidden="false" customHeight="true" outlineLevel="0" collapsed="false">
      <c r="B9" s="11"/>
      <c r="C9" s="28" t="n">
        <v>3</v>
      </c>
      <c r="D9" s="29" t="n">
        <v>29681657</v>
      </c>
      <c r="E9" s="24" t="n">
        <v>6594841</v>
      </c>
      <c r="F9" s="23" t="n">
        <v>52</v>
      </c>
      <c r="G9" s="25" t="n">
        <v>6594842</v>
      </c>
      <c r="H9" s="16"/>
      <c r="I9" s="17"/>
      <c r="J9" s="26" t="n">
        <v>6594841</v>
      </c>
      <c r="K9" s="24" t="n">
        <v>0</v>
      </c>
      <c r="L9" s="30" t="n">
        <v>21</v>
      </c>
      <c r="M9" s="21"/>
      <c r="N9" s="17"/>
    </row>
    <row r="10" customFormat="false" ht="17.25" hidden="false" customHeight="true" outlineLevel="0" collapsed="false">
      <c r="B10" s="11"/>
      <c r="C10" s="28" t="n">
        <v>4</v>
      </c>
      <c r="D10" s="31" t="n">
        <v>251426084</v>
      </c>
      <c r="E10" s="32" t="n">
        <v>-1</v>
      </c>
      <c r="F10" s="1" t="n">
        <v>108</v>
      </c>
      <c r="G10" s="33" t="n">
        <v>10000000</v>
      </c>
      <c r="H10" s="16"/>
      <c r="I10" s="17"/>
      <c r="J10" s="26" t="n">
        <v>-1</v>
      </c>
      <c r="K10" s="24" t="n">
        <v>0</v>
      </c>
      <c r="L10" s="27" t="n">
        <v>23</v>
      </c>
      <c r="M10" s="21"/>
      <c r="N10" s="17"/>
    </row>
    <row r="11" customFormat="false" ht="17.25" hidden="false" customHeight="true" outlineLevel="0" collapsed="false">
      <c r="B11" s="11"/>
      <c r="C11" s="28" t="n">
        <v>5</v>
      </c>
      <c r="D11" s="34" t="n">
        <v>1942299544</v>
      </c>
      <c r="E11" s="24" t="n">
        <v>-1</v>
      </c>
      <c r="F11" s="23" t="n">
        <v>114</v>
      </c>
      <c r="G11" s="25" t="n">
        <v>10000000</v>
      </c>
      <c r="H11" s="16"/>
      <c r="I11" s="17"/>
      <c r="J11" s="35" t="n">
        <v>-1</v>
      </c>
      <c r="K11" s="14" t="n">
        <v>0</v>
      </c>
      <c r="L11" s="36" t="n">
        <v>23</v>
      </c>
      <c r="M11" s="21"/>
      <c r="N11" s="17"/>
    </row>
    <row r="12" customFormat="false" ht="17.25" hidden="false" customHeight="true" outlineLevel="0" collapsed="false">
      <c r="B12" s="11"/>
      <c r="C12" s="28" t="n">
        <v>6</v>
      </c>
      <c r="D12" s="29" t="n">
        <v>22835301</v>
      </c>
      <c r="E12" s="24" t="n">
        <v>5075341</v>
      </c>
      <c r="F12" s="23" t="n">
        <v>30</v>
      </c>
      <c r="G12" s="25" t="n">
        <v>5075342</v>
      </c>
      <c r="H12" s="16"/>
      <c r="I12" s="17"/>
      <c r="J12" s="26" t="n">
        <v>5075341</v>
      </c>
      <c r="K12" s="24" t="n">
        <v>0</v>
      </c>
      <c r="L12" s="27" t="n">
        <v>21</v>
      </c>
      <c r="M12" s="21"/>
      <c r="N12" s="17"/>
    </row>
    <row r="13" customFormat="false" ht="17.25" hidden="false" customHeight="true" outlineLevel="0" collapsed="false">
      <c r="B13" s="37" t="s">
        <v>8</v>
      </c>
      <c r="C13" s="28" t="n">
        <v>7</v>
      </c>
      <c r="D13" s="29" t="n">
        <v>15592458</v>
      </c>
      <c r="E13" s="24" t="n">
        <v>3466282</v>
      </c>
      <c r="F13" s="23" t="n">
        <v>31</v>
      </c>
      <c r="G13" s="25" t="n">
        <v>3466283</v>
      </c>
      <c r="H13" s="16"/>
      <c r="I13" s="17"/>
      <c r="J13" s="26" t="n">
        <v>3466282</v>
      </c>
      <c r="K13" s="32" t="n">
        <v>0</v>
      </c>
      <c r="L13" s="38" t="n">
        <v>23</v>
      </c>
      <c r="M13" s="21"/>
      <c r="N13" s="17"/>
    </row>
    <row r="14" customFormat="false" ht="17.25" hidden="false" customHeight="true" outlineLevel="0" collapsed="false">
      <c r="B14" s="37"/>
      <c r="C14" s="22" t="n">
        <v>8</v>
      </c>
      <c r="D14" s="23" t="n">
        <v>1221221789</v>
      </c>
      <c r="E14" s="24" t="n">
        <v>-1</v>
      </c>
      <c r="F14" s="23" t="n">
        <v>107</v>
      </c>
      <c r="G14" s="25" t="n">
        <v>10000000</v>
      </c>
      <c r="H14" s="16"/>
      <c r="I14" s="17"/>
      <c r="J14" s="26" t="n">
        <v>-1</v>
      </c>
      <c r="K14" s="39" t="n">
        <v>0</v>
      </c>
      <c r="L14" s="27" t="n">
        <v>23</v>
      </c>
      <c r="M14" s="21"/>
      <c r="N14" s="17"/>
    </row>
    <row r="15" customFormat="false" ht="17.25" hidden="false" customHeight="true" outlineLevel="0" collapsed="false">
      <c r="B15" s="37"/>
      <c r="C15" s="28" t="n">
        <v>9</v>
      </c>
      <c r="D15" s="29" t="n">
        <v>999949488</v>
      </c>
      <c r="E15" s="24" t="n">
        <v>-1</v>
      </c>
      <c r="F15" s="23" t="n">
        <v>125</v>
      </c>
      <c r="G15" s="25" t="n">
        <v>10000000</v>
      </c>
      <c r="H15" s="16"/>
      <c r="I15" s="17"/>
      <c r="J15" s="26" t="n">
        <v>-1</v>
      </c>
      <c r="K15" s="24" t="n">
        <v>0</v>
      </c>
      <c r="L15" s="27" t="n">
        <v>23</v>
      </c>
      <c r="M15" s="21"/>
      <c r="N15" s="17"/>
    </row>
    <row r="16" customFormat="false" ht="17.25" hidden="false" customHeight="true" outlineLevel="0" collapsed="false">
      <c r="B16" s="37"/>
      <c r="C16" s="40" t="n">
        <v>10</v>
      </c>
      <c r="D16" s="41" t="n">
        <v>863407724</v>
      </c>
      <c r="E16" s="42" t="n">
        <v>-1</v>
      </c>
      <c r="F16" s="43" t="n">
        <v>92</v>
      </c>
      <c r="G16" s="44" t="n">
        <v>10000000</v>
      </c>
      <c r="H16" s="16"/>
      <c r="I16" s="17"/>
      <c r="J16" s="45" t="n">
        <v>-1</v>
      </c>
      <c r="K16" s="32" t="n">
        <v>0</v>
      </c>
      <c r="L16" s="38" t="n">
        <v>23</v>
      </c>
      <c r="M16" s="21"/>
      <c r="N16" s="17"/>
    </row>
    <row r="17" customFormat="false" ht="17.25" hidden="false" customHeight="true" outlineLevel="0" collapsed="false">
      <c r="B17" s="11" t="n">
        <v>100000000</v>
      </c>
      <c r="C17" s="46" t="n">
        <v>1</v>
      </c>
      <c r="D17" s="47" t="n">
        <v>296513018</v>
      </c>
      <c r="E17" s="14" t="n">
        <v>-1</v>
      </c>
      <c r="F17" s="14" t="n">
        <v>368</v>
      </c>
      <c r="G17" s="48" t="n">
        <v>100000000</v>
      </c>
      <c r="H17" s="49" t="s">
        <v>9</v>
      </c>
      <c r="I17" s="50" t="s">
        <v>10</v>
      </c>
      <c r="J17" s="51" t="n">
        <v>-1</v>
      </c>
      <c r="K17" s="52" t="n">
        <v>0</v>
      </c>
      <c r="L17" s="48" t="n">
        <v>26</v>
      </c>
      <c r="M17" s="49" t="s">
        <v>9</v>
      </c>
      <c r="N17" s="53" t="s">
        <v>10</v>
      </c>
    </row>
    <row r="18" customFormat="false" ht="17.25" hidden="false" customHeight="true" outlineLevel="0" collapsed="false">
      <c r="B18" s="11"/>
      <c r="C18" s="22" t="n">
        <v>2</v>
      </c>
      <c r="D18" s="26" t="n">
        <v>971057977</v>
      </c>
      <c r="E18" s="24" t="n">
        <v>-1</v>
      </c>
      <c r="F18" s="24" t="n">
        <v>363</v>
      </c>
      <c r="G18" s="27" t="n">
        <v>100000000</v>
      </c>
      <c r="H18" s="49"/>
      <c r="I18" s="50"/>
      <c r="J18" s="34" t="n">
        <v>-1</v>
      </c>
      <c r="K18" s="24" t="n">
        <v>0</v>
      </c>
      <c r="L18" s="27" t="n">
        <v>26</v>
      </c>
      <c r="M18" s="49"/>
      <c r="N18" s="53"/>
    </row>
    <row r="19" customFormat="false" ht="17.25" hidden="false" customHeight="true" outlineLevel="0" collapsed="false">
      <c r="B19" s="11"/>
      <c r="C19" s="22" t="n">
        <v>3</v>
      </c>
      <c r="D19" s="26" t="n">
        <v>1872020268</v>
      </c>
      <c r="E19" s="24" t="n">
        <v>-1</v>
      </c>
      <c r="F19" s="24" t="n">
        <v>367</v>
      </c>
      <c r="G19" s="27" t="n">
        <v>100000000</v>
      </c>
      <c r="H19" s="54" t="n">
        <f aca="false">H7*B17/B7</f>
        <v>1070</v>
      </c>
      <c r="I19" s="54" t="n">
        <f aca="false">I7*(B17/B7)</f>
        <v>100000000</v>
      </c>
      <c r="J19" s="34" t="n">
        <v>-1</v>
      </c>
      <c r="K19" s="24" t="n">
        <v>0</v>
      </c>
      <c r="L19" s="27" t="n">
        <v>26</v>
      </c>
      <c r="M19" s="54" t="n">
        <f aca="false">(LOG(B17)/LOG(B7))*M7</f>
        <v>0</v>
      </c>
      <c r="N19" s="54" t="n">
        <f aca="false">(LOG(B17)/LOG(B7))*N7</f>
        <v>26.2857142857143</v>
      </c>
    </row>
    <row r="20" customFormat="false" ht="17.25" hidden="false" customHeight="true" outlineLevel="0" collapsed="false">
      <c r="B20" s="11"/>
      <c r="C20" s="22" t="n">
        <v>4</v>
      </c>
      <c r="D20" s="26" t="n">
        <v>1704443477</v>
      </c>
      <c r="E20" s="24" t="n">
        <v>-1</v>
      </c>
      <c r="F20" s="24" t="n">
        <v>376</v>
      </c>
      <c r="G20" s="27" t="n">
        <v>100000000</v>
      </c>
      <c r="H20" s="55"/>
      <c r="I20" s="56"/>
      <c r="J20" s="34" t="n">
        <v>-1</v>
      </c>
      <c r="K20" s="24" t="n">
        <v>0</v>
      </c>
      <c r="L20" s="27" t="n">
        <v>26</v>
      </c>
      <c r="N20" s="57"/>
    </row>
    <row r="21" customFormat="false" ht="17.25" hidden="false" customHeight="true" outlineLevel="0" collapsed="false">
      <c r="B21" s="11"/>
      <c r="C21" s="22" t="n">
        <v>5</v>
      </c>
      <c r="D21" s="26" t="n">
        <v>1949115053</v>
      </c>
      <c r="E21" s="24" t="n">
        <v>-1</v>
      </c>
      <c r="F21" s="24" t="n">
        <v>385</v>
      </c>
      <c r="G21" s="27" t="n">
        <v>100000000</v>
      </c>
      <c r="H21" s="55"/>
      <c r="I21" s="56"/>
      <c r="J21" s="34" t="n">
        <v>-1</v>
      </c>
      <c r="K21" s="24" t="n">
        <v>0</v>
      </c>
      <c r="L21" s="27" t="n">
        <v>26</v>
      </c>
      <c r="M21" s="58"/>
      <c r="N21" s="57"/>
    </row>
    <row r="22" customFormat="false" ht="17.25" hidden="false" customHeight="true" outlineLevel="0" collapsed="false">
      <c r="B22" s="11"/>
      <c r="C22" s="22" t="n">
        <v>6</v>
      </c>
      <c r="D22" s="26" t="n">
        <v>415938899</v>
      </c>
      <c r="E22" s="24" t="n">
        <v>-1</v>
      </c>
      <c r="F22" s="24" t="n">
        <v>386</v>
      </c>
      <c r="G22" s="27" t="n">
        <v>100000000</v>
      </c>
      <c r="H22" s="59" t="s">
        <v>11</v>
      </c>
      <c r="I22" s="60" t="s">
        <v>12</v>
      </c>
      <c r="J22" s="34" t="n">
        <v>-1</v>
      </c>
      <c r="K22" s="24" t="n">
        <v>0</v>
      </c>
      <c r="L22" s="27" t="n">
        <v>26</v>
      </c>
      <c r="M22" s="59" t="s">
        <v>11</v>
      </c>
      <c r="N22" s="61" t="s">
        <v>12</v>
      </c>
    </row>
    <row r="23" customFormat="false" ht="17.25" hidden="false" customHeight="true" outlineLevel="0" collapsed="false">
      <c r="B23" s="37" t="s">
        <v>13</v>
      </c>
      <c r="C23" s="22" t="n">
        <v>7</v>
      </c>
      <c r="D23" s="26" t="n">
        <v>948191600</v>
      </c>
      <c r="E23" s="24" t="n">
        <v>-1</v>
      </c>
      <c r="F23" s="24" t="n">
        <v>361</v>
      </c>
      <c r="G23" s="27" t="n">
        <v>100000000</v>
      </c>
      <c r="H23" s="59"/>
      <c r="I23" s="60"/>
      <c r="J23" s="34" t="n">
        <v>-1</v>
      </c>
      <c r="K23" s="24" t="n">
        <v>0</v>
      </c>
      <c r="L23" s="27" t="n">
        <v>26</v>
      </c>
      <c r="M23" s="59"/>
      <c r="N23" s="61"/>
    </row>
    <row r="24" customFormat="false" ht="17.25" hidden="false" customHeight="true" outlineLevel="0" collapsed="false">
      <c r="B24" s="37"/>
      <c r="C24" s="22" t="n">
        <v>8</v>
      </c>
      <c r="D24" s="26" t="n">
        <v>105793964</v>
      </c>
      <c r="E24" s="24" t="n">
        <v>-1</v>
      </c>
      <c r="F24" s="24" t="n">
        <v>361</v>
      </c>
      <c r="G24" s="27" t="n">
        <v>100000000</v>
      </c>
      <c r="H24" s="62" t="n">
        <f aca="false">ABS(F17:F26)</f>
        <v>361</v>
      </c>
      <c r="I24" s="63" t="n">
        <v>100000000</v>
      </c>
      <c r="J24" s="34" t="n">
        <v>-1</v>
      </c>
      <c r="K24" s="24" t="n">
        <v>0</v>
      </c>
      <c r="L24" s="27" t="n">
        <v>26</v>
      </c>
      <c r="M24" s="62" t="n">
        <v>0</v>
      </c>
      <c r="N24" s="64" t="n">
        <v>26</v>
      </c>
    </row>
    <row r="25" customFormat="false" ht="17.25" hidden="false" customHeight="true" outlineLevel="0" collapsed="false">
      <c r="B25" s="37"/>
      <c r="C25" s="22" t="n">
        <v>9</v>
      </c>
      <c r="D25" s="26" t="n">
        <v>1129707280</v>
      </c>
      <c r="E25" s="24" t="n">
        <v>-1</v>
      </c>
      <c r="F25" s="24" t="n">
        <v>371</v>
      </c>
      <c r="G25" s="27" t="n">
        <v>100000000</v>
      </c>
      <c r="H25" s="62"/>
      <c r="I25" s="63"/>
      <c r="J25" s="34" t="n">
        <v>-1</v>
      </c>
      <c r="K25" s="24" t="n">
        <v>0</v>
      </c>
      <c r="L25" s="27" t="n">
        <v>26</v>
      </c>
      <c r="M25" s="62"/>
      <c r="N25" s="64"/>
    </row>
    <row r="26" customFormat="false" ht="17.25" hidden="false" customHeight="true" outlineLevel="0" collapsed="false">
      <c r="B26" s="37"/>
      <c r="C26" s="65" t="n">
        <v>10</v>
      </c>
      <c r="D26" s="66" t="n">
        <v>2039946</v>
      </c>
      <c r="E26" s="42" t="n">
        <v>-1</v>
      </c>
      <c r="F26" s="42" t="n">
        <v>368</v>
      </c>
      <c r="G26" s="44" t="n">
        <v>100000000</v>
      </c>
      <c r="H26" s="62"/>
      <c r="I26" s="63"/>
      <c r="J26" s="66" t="n">
        <v>-1</v>
      </c>
      <c r="K26" s="42" t="n">
        <v>0</v>
      </c>
      <c r="L26" s="44" t="n">
        <v>26</v>
      </c>
      <c r="M26" s="62"/>
      <c r="N26" s="64"/>
    </row>
  </sheetData>
  <mergeCells count="22">
    <mergeCell ref="E5:I5"/>
    <mergeCell ref="J5:N5"/>
    <mergeCell ref="B7:B12"/>
    <mergeCell ref="H7:H16"/>
    <mergeCell ref="I7:I16"/>
    <mergeCell ref="M7:M16"/>
    <mergeCell ref="N7:N16"/>
    <mergeCell ref="B13:B16"/>
    <mergeCell ref="B17:B22"/>
    <mergeCell ref="H17:H18"/>
    <mergeCell ref="I17:I18"/>
    <mergeCell ref="M17:M18"/>
    <mergeCell ref="N17:N18"/>
    <mergeCell ref="H22:H23"/>
    <mergeCell ref="I22:I23"/>
    <mergeCell ref="M22:M23"/>
    <mergeCell ref="N22:N23"/>
    <mergeCell ref="B23:B26"/>
    <mergeCell ref="H24:H26"/>
    <mergeCell ref="I24:I26"/>
    <mergeCell ref="M24:M26"/>
    <mergeCell ref="N24:N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AM60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B18" activeCellId="0" sqref="AB18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0.16"/>
    <col collapsed="false" customWidth="true" hidden="false" outlineLevel="0" max="2" min="2" style="1" width="37.41"/>
    <col collapsed="false" customWidth="true" hidden="false" outlineLevel="0" max="3" min="3" style="1" width="12.66"/>
    <col collapsed="false" customWidth="true" hidden="false" outlineLevel="0" max="13" min="4" style="1" width="10.34"/>
    <col collapsed="false" customWidth="true" hidden="false" outlineLevel="0" max="14" min="14" style="1" width="12.17"/>
    <col collapsed="false" customWidth="true" hidden="false" outlineLevel="0" max="39" min="15" style="1" width="10.34"/>
  </cols>
  <sheetData>
    <row r="3" customFormat="false" ht="27" hidden="false" customHeight="true" outlineLevel="0" collapsed="false">
      <c r="D3" s="67" t="s">
        <v>14</v>
      </c>
      <c r="E3" s="67"/>
      <c r="F3" s="68" t="n">
        <v>10000</v>
      </c>
      <c r="G3" s="68"/>
      <c r="H3" s="69" t="s">
        <v>15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</row>
    <row r="4" customFormat="false" ht="24.75" hidden="false" customHeight="true" outlineLevel="0" collapsed="false">
      <c r="D4" s="70" t="s">
        <v>4</v>
      </c>
      <c r="E4" s="70"/>
      <c r="F4" s="70"/>
      <c r="G4" s="70"/>
      <c r="H4" s="70"/>
      <c r="I4" s="70"/>
      <c r="J4" s="70"/>
      <c r="K4" s="70"/>
      <c r="L4" s="70"/>
      <c r="M4" s="70"/>
      <c r="N4" s="70"/>
      <c r="O4" s="70" t="s">
        <v>5</v>
      </c>
      <c r="P4" s="70"/>
      <c r="Q4" s="70"/>
      <c r="R4" s="70"/>
      <c r="S4" s="70"/>
      <c r="T4" s="70"/>
      <c r="U4" s="70"/>
      <c r="V4" s="70"/>
      <c r="W4" s="70"/>
      <c r="X4" s="70"/>
      <c r="Y4" s="70"/>
      <c r="Z4" s="70" t="s">
        <v>16</v>
      </c>
      <c r="AA4" s="70"/>
      <c r="AB4" s="70"/>
      <c r="AC4" s="70"/>
      <c r="AD4" s="70"/>
      <c r="AE4" s="70"/>
      <c r="AF4" s="70"/>
      <c r="AG4" s="70"/>
      <c r="AH4" s="70"/>
      <c r="AI4" s="70"/>
      <c r="AJ4" s="70"/>
    </row>
    <row r="5" customFormat="false" ht="35.25" hidden="false" customHeight="true" outlineLevel="0" collapsed="false">
      <c r="B5" s="71" t="s">
        <v>17</v>
      </c>
      <c r="C5" s="72" t="s">
        <v>18</v>
      </c>
      <c r="D5" s="73" t="n">
        <v>1</v>
      </c>
      <c r="E5" s="74" t="n">
        <v>2</v>
      </c>
      <c r="F5" s="74" t="n">
        <v>3</v>
      </c>
      <c r="G5" s="74" t="n">
        <v>4</v>
      </c>
      <c r="H5" s="74" t="n">
        <v>5</v>
      </c>
      <c r="I5" s="74" t="n">
        <v>6</v>
      </c>
      <c r="J5" s="74" t="n">
        <v>7</v>
      </c>
      <c r="K5" s="74" t="n">
        <v>8</v>
      </c>
      <c r="L5" s="74" t="n">
        <v>9</v>
      </c>
      <c r="M5" s="75" t="n">
        <v>10</v>
      </c>
      <c r="N5" s="76" t="s">
        <v>19</v>
      </c>
      <c r="O5" s="73" t="n">
        <v>1</v>
      </c>
      <c r="P5" s="74" t="n">
        <v>2</v>
      </c>
      <c r="Q5" s="74" t="n">
        <v>3</v>
      </c>
      <c r="R5" s="74" t="n">
        <v>4</v>
      </c>
      <c r="S5" s="74" t="n">
        <v>5</v>
      </c>
      <c r="T5" s="74" t="n">
        <v>6</v>
      </c>
      <c r="U5" s="74" t="n">
        <v>7</v>
      </c>
      <c r="V5" s="74" t="n">
        <v>8</v>
      </c>
      <c r="W5" s="74" t="n">
        <v>9</v>
      </c>
      <c r="X5" s="75" t="n">
        <v>10</v>
      </c>
      <c r="Y5" s="76" t="s">
        <v>19</v>
      </c>
      <c r="Z5" s="73" t="n">
        <v>1</v>
      </c>
      <c r="AA5" s="74" t="n">
        <v>2</v>
      </c>
      <c r="AB5" s="74" t="n">
        <v>3</v>
      </c>
      <c r="AC5" s="74" t="n">
        <v>4</v>
      </c>
      <c r="AD5" s="74" t="n">
        <v>5</v>
      </c>
      <c r="AE5" s="74" t="n">
        <v>6</v>
      </c>
      <c r="AF5" s="74" t="n">
        <v>7</v>
      </c>
      <c r="AG5" s="74" t="n">
        <v>8</v>
      </c>
      <c r="AH5" s="74" t="n">
        <v>9</v>
      </c>
      <c r="AI5" s="75" t="n">
        <v>10</v>
      </c>
      <c r="AJ5" s="76" t="s">
        <v>19</v>
      </c>
    </row>
    <row r="6" customFormat="false" ht="19.7" hidden="false" customHeight="false" outlineLevel="0" collapsed="false">
      <c r="B6" s="77" t="s">
        <v>20</v>
      </c>
      <c r="C6" s="78" t="s">
        <v>21</v>
      </c>
      <c r="D6" s="79" t="n">
        <v>726</v>
      </c>
      <c r="E6" s="18" t="n">
        <v>645</v>
      </c>
      <c r="F6" s="18" t="n">
        <v>285</v>
      </c>
      <c r="G6" s="18" t="n">
        <v>525</v>
      </c>
      <c r="H6" s="18" t="n">
        <v>570</v>
      </c>
      <c r="I6" s="18" t="n">
        <v>475</v>
      </c>
      <c r="J6" s="18" t="n">
        <v>675</v>
      </c>
      <c r="K6" s="18" t="n">
        <v>550</v>
      </c>
      <c r="L6" s="18" t="n">
        <v>721</v>
      </c>
      <c r="M6" s="80" t="n">
        <v>696</v>
      </c>
      <c r="N6" s="48" t="n">
        <f aca="false">AVERAGE(D6:M6)</f>
        <v>586.8</v>
      </c>
      <c r="O6" s="79" t="n">
        <v>49995000</v>
      </c>
      <c r="P6" s="79" t="n">
        <v>49995000</v>
      </c>
      <c r="Q6" s="79" t="n">
        <v>49995000</v>
      </c>
      <c r="R6" s="79" t="n">
        <v>49995000</v>
      </c>
      <c r="S6" s="79" t="n">
        <v>49995000</v>
      </c>
      <c r="T6" s="79" t="n">
        <v>49995000</v>
      </c>
      <c r="U6" s="79" t="n">
        <v>49995000</v>
      </c>
      <c r="V6" s="79" t="n">
        <v>49995000</v>
      </c>
      <c r="W6" s="79" t="n">
        <v>49995000</v>
      </c>
      <c r="X6" s="79" t="n">
        <v>49995000</v>
      </c>
      <c r="Y6" s="48" t="n">
        <f aca="false">AVERAGE(O6:X6)</f>
        <v>49995000</v>
      </c>
      <c r="Z6" s="79" t="n">
        <v>24571075</v>
      </c>
      <c r="AA6" s="18" t="n">
        <v>24693227</v>
      </c>
      <c r="AB6" s="18" t="n">
        <v>24980909</v>
      </c>
      <c r="AC6" s="18" t="n">
        <v>24568948</v>
      </c>
      <c r="AD6" s="18" t="n">
        <v>24563895</v>
      </c>
      <c r="AE6" s="18" t="n">
        <v>24789563</v>
      </c>
      <c r="AF6" s="18" t="n">
        <v>24589657</v>
      </c>
      <c r="AG6" s="18" t="n">
        <v>24124158</v>
      </c>
      <c r="AH6" s="18" t="n">
        <v>24159876</v>
      </c>
      <c r="AI6" s="80" t="n">
        <v>24156789</v>
      </c>
      <c r="AJ6" s="48" t="n">
        <f aca="false">AVERAGE(Z6:AI6)</f>
        <v>24519809.7</v>
      </c>
    </row>
    <row r="7" customFormat="false" ht="19.7" hidden="false" customHeight="false" outlineLevel="0" collapsed="false">
      <c r="B7" s="81" t="s">
        <v>22</v>
      </c>
      <c r="C7" s="82" t="s">
        <v>23</v>
      </c>
      <c r="D7" s="26" t="n">
        <v>394</v>
      </c>
      <c r="E7" s="45" t="n">
        <v>271</v>
      </c>
      <c r="F7" s="45" t="n">
        <v>138</v>
      </c>
      <c r="G7" s="45" t="n">
        <v>242</v>
      </c>
      <c r="H7" s="45" t="n">
        <v>319</v>
      </c>
      <c r="I7" s="45" t="n">
        <v>395</v>
      </c>
      <c r="J7" s="45" t="n">
        <v>351</v>
      </c>
      <c r="K7" s="45" t="n">
        <v>364</v>
      </c>
      <c r="L7" s="45" t="n">
        <v>298</v>
      </c>
      <c r="M7" s="39" t="n">
        <v>387</v>
      </c>
      <c r="N7" s="48" t="n">
        <f aca="false">AVERAGE(D7:M7)</f>
        <v>315.9</v>
      </c>
      <c r="O7" s="26" t="n">
        <v>49995000</v>
      </c>
      <c r="P7" s="79" t="n">
        <v>49995000</v>
      </c>
      <c r="Q7" s="79" t="n">
        <v>49995000</v>
      </c>
      <c r="R7" s="79" t="n">
        <v>49995000</v>
      </c>
      <c r="S7" s="79" t="n">
        <v>49995000</v>
      </c>
      <c r="T7" s="79" t="n">
        <v>49995000</v>
      </c>
      <c r="U7" s="79" t="n">
        <v>49995000</v>
      </c>
      <c r="V7" s="79" t="n">
        <v>49995000</v>
      </c>
      <c r="W7" s="79" t="n">
        <v>49995000</v>
      </c>
      <c r="X7" s="79" t="n">
        <v>49995000</v>
      </c>
      <c r="Y7" s="48" t="n">
        <f aca="false">AVERAGE(O7:X7)</f>
        <v>49995000</v>
      </c>
      <c r="Z7" s="26" t="n">
        <v>10000</v>
      </c>
      <c r="AA7" s="45" t="n">
        <v>10000</v>
      </c>
      <c r="AB7" s="45" t="n">
        <v>10000</v>
      </c>
      <c r="AC7" s="45" t="n">
        <v>10000</v>
      </c>
      <c r="AD7" s="45" t="n">
        <v>10000</v>
      </c>
      <c r="AE7" s="45" t="n">
        <v>10000</v>
      </c>
      <c r="AF7" s="45" t="n">
        <v>10000</v>
      </c>
      <c r="AG7" s="45" t="n">
        <v>10000</v>
      </c>
      <c r="AH7" s="45" t="n">
        <v>10000</v>
      </c>
      <c r="AI7" s="45" t="n">
        <v>10000</v>
      </c>
      <c r="AJ7" s="48" t="n">
        <f aca="false">AVERAGE(Z7:AI7)</f>
        <v>10000</v>
      </c>
    </row>
    <row r="8" customFormat="false" ht="19.7" hidden="false" customHeight="false" outlineLevel="0" collapsed="false">
      <c r="B8" s="81" t="s">
        <v>24</v>
      </c>
      <c r="C8" s="82" t="s">
        <v>25</v>
      </c>
      <c r="D8" s="26" t="n">
        <v>440</v>
      </c>
      <c r="E8" s="26" t="n">
        <v>507</v>
      </c>
      <c r="F8" s="26" t="n">
        <v>188</v>
      </c>
      <c r="G8" s="26" t="n">
        <v>304</v>
      </c>
      <c r="H8" s="26" t="n">
        <v>438</v>
      </c>
      <c r="I8" s="26" t="n">
        <v>441</v>
      </c>
      <c r="J8" s="26" t="n">
        <v>478</v>
      </c>
      <c r="K8" s="26" t="n">
        <v>456</v>
      </c>
      <c r="L8" s="26" t="n">
        <v>501</v>
      </c>
      <c r="M8" s="24" t="n">
        <v>496</v>
      </c>
      <c r="N8" s="48" t="n">
        <f aca="false">AVERAGE(D8:M8)</f>
        <v>424.9</v>
      </c>
      <c r="O8" s="26" t="n">
        <v>49995000</v>
      </c>
      <c r="P8" s="79" t="n">
        <v>49995000</v>
      </c>
      <c r="Q8" s="79" t="n">
        <v>49995000</v>
      </c>
      <c r="R8" s="79" t="n">
        <v>49995000</v>
      </c>
      <c r="S8" s="79" t="n">
        <v>49995000</v>
      </c>
      <c r="T8" s="79" t="n">
        <v>49995000</v>
      </c>
      <c r="U8" s="79" t="n">
        <v>49995000</v>
      </c>
      <c r="V8" s="79" t="n">
        <v>49995000</v>
      </c>
      <c r="W8" s="79" t="n">
        <v>49995000</v>
      </c>
      <c r="X8" s="79" t="n">
        <v>49995000</v>
      </c>
      <c r="Y8" s="48" t="n">
        <f aca="false">AVERAGE(O8:X8)</f>
        <v>49995000</v>
      </c>
      <c r="Z8" s="26" t="n">
        <v>24571075</v>
      </c>
      <c r="AA8" s="26" t="n">
        <v>24693227</v>
      </c>
      <c r="AB8" s="26" t="n">
        <v>24980909</v>
      </c>
      <c r="AC8" s="26" t="n">
        <v>2458967</v>
      </c>
      <c r="AD8" s="26" t="n">
        <v>24525452</v>
      </c>
      <c r="AE8" s="26" t="n">
        <v>24635986</v>
      </c>
      <c r="AF8" s="26" t="n">
        <v>24102356</v>
      </c>
      <c r="AG8" s="26" t="n">
        <v>24105896</v>
      </c>
      <c r="AH8" s="26" t="n">
        <v>24105268</v>
      </c>
      <c r="AI8" s="24" t="n">
        <v>24535968</v>
      </c>
      <c r="AJ8" s="48" t="n">
        <f aca="false">AVERAGE(Z8:AI8)</f>
        <v>22271510.4</v>
      </c>
    </row>
    <row r="9" customFormat="false" ht="19.7" hidden="false" customHeight="false" outlineLevel="0" collapsed="false">
      <c r="B9" s="81" t="s">
        <v>26</v>
      </c>
      <c r="C9" s="82" t="s">
        <v>27</v>
      </c>
      <c r="D9" s="26" t="n">
        <v>2</v>
      </c>
      <c r="E9" s="26" t="n">
        <v>3</v>
      </c>
      <c r="F9" s="26" t="n">
        <v>1</v>
      </c>
      <c r="G9" s="26" t="n">
        <v>2</v>
      </c>
      <c r="H9" s="26" t="n">
        <v>4</v>
      </c>
      <c r="I9" s="26" t="n">
        <v>2</v>
      </c>
      <c r="J9" s="26" t="n">
        <v>3</v>
      </c>
      <c r="K9" s="26" t="n">
        <v>3</v>
      </c>
      <c r="L9" s="26" t="n">
        <v>4</v>
      </c>
      <c r="M9" s="24" t="n">
        <v>2</v>
      </c>
      <c r="N9" s="48" t="n">
        <f aca="false">AVERAGE(D9:M9)</f>
        <v>2.6</v>
      </c>
      <c r="O9" s="26" t="n">
        <v>9999</v>
      </c>
      <c r="P9" s="79" t="n">
        <v>9999</v>
      </c>
      <c r="Q9" s="79" t="n">
        <v>9999</v>
      </c>
      <c r="R9" s="79" t="n">
        <v>9999</v>
      </c>
      <c r="S9" s="79" t="n">
        <v>9999</v>
      </c>
      <c r="T9" s="79" t="n">
        <v>9999</v>
      </c>
      <c r="U9" s="79" t="n">
        <v>9999</v>
      </c>
      <c r="V9" s="79" t="n">
        <v>9999</v>
      </c>
      <c r="W9" s="79" t="n">
        <v>9999</v>
      </c>
      <c r="X9" s="79" t="n">
        <v>9999</v>
      </c>
      <c r="Y9" s="48" t="n">
        <f aca="false">AVERAGE(O9:X9)</f>
        <v>9999</v>
      </c>
      <c r="Z9" s="26" t="n">
        <v>24818738</v>
      </c>
      <c r="AA9" s="26" t="n">
        <v>24950470</v>
      </c>
      <c r="AB9" s="26" t="n">
        <v>25240020</v>
      </c>
      <c r="AC9" s="26" t="n">
        <v>2542158</v>
      </c>
      <c r="AD9" s="26" t="n">
        <v>24563895</v>
      </c>
      <c r="AE9" s="26" t="n">
        <v>24589658</v>
      </c>
      <c r="AF9" s="26" t="n">
        <v>24996895</v>
      </c>
      <c r="AG9" s="26" t="n">
        <v>256685945</v>
      </c>
      <c r="AH9" s="26" t="n">
        <v>24568302</v>
      </c>
      <c r="AI9" s="24" t="n">
        <v>25124521</v>
      </c>
      <c r="AJ9" s="48" t="n">
        <f aca="false">AVERAGE(Z9:AI9)</f>
        <v>45808060.2</v>
      </c>
    </row>
    <row r="10" customFormat="false" ht="19.7" hidden="false" customHeight="false" outlineLevel="0" collapsed="false">
      <c r="B10" s="81" t="s">
        <v>28</v>
      </c>
      <c r="C10" s="82" t="s">
        <v>27</v>
      </c>
      <c r="D10" s="26" t="n">
        <v>6</v>
      </c>
      <c r="E10" s="26" t="n">
        <v>6</v>
      </c>
      <c r="F10" s="26" t="n">
        <v>3</v>
      </c>
      <c r="G10" s="26" t="n">
        <v>6</v>
      </c>
      <c r="H10" s="26" t="n">
        <v>10</v>
      </c>
      <c r="I10" s="26" t="n">
        <v>6</v>
      </c>
      <c r="J10" s="26" t="n">
        <v>8</v>
      </c>
      <c r="K10" s="26" t="n">
        <v>6</v>
      </c>
      <c r="L10" s="26" t="n">
        <v>10</v>
      </c>
      <c r="M10" s="24" t="n">
        <v>6</v>
      </c>
      <c r="N10" s="48" t="n">
        <f aca="false">AVERAGE(D10:M10)</f>
        <v>6.7</v>
      </c>
      <c r="O10" s="26" t="n">
        <v>584848</v>
      </c>
      <c r="P10" s="26" t="n">
        <v>573956</v>
      </c>
      <c r="Q10" s="26" t="n">
        <v>591995</v>
      </c>
      <c r="R10" s="26" t="n">
        <v>578581</v>
      </c>
      <c r="S10" s="26" t="n">
        <v>589654</v>
      </c>
      <c r="T10" s="26" t="n">
        <v>584369</v>
      </c>
      <c r="U10" s="26" t="n">
        <v>574369</v>
      </c>
      <c r="V10" s="26" t="n">
        <v>563248</v>
      </c>
      <c r="W10" s="26" t="n">
        <v>596236</v>
      </c>
      <c r="X10" s="24" t="n">
        <v>567845</v>
      </c>
      <c r="Y10" s="48" t="n">
        <f aca="false">AVERAGE(O10:X10)</f>
        <v>580510.1</v>
      </c>
      <c r="Z10" s="26" t="n">
        <v>557824</v>
      </c>
      <c r="AA10" s="26" t="n">
        <v>542261</v>
      </c>
      <c r="AB10" s="26" t="n">
        <v>546785</v>
      </c>
      <c r="AC10" s="26" t="n">
        <v>547896</v>
      </c>
      <c r="AD10" s="26" t="n">
        <v>256938</v>
      </c>
      <c r="AE10" s="26" t="n">
        <v>542603</v>
      </c>
      <c r="AF10" s="26" t="n">
        <v>542603</v>
      </c>
      <c r="AG10" s="26" t="n">
        <v>552369</v>
      </c>
      <c r="AH10" s="26" t="n">
        <v>548963</v>
      </c>
      <c r="AI10" s="24" t="n">
        <v>542856</v>
      </c>
      <c r="AJ10" s="48" t="n">
        <f aca="false">AVERAGE(Z10:AI10)</f>
        <v>518109.8</v>
      </c>
    </row>
    <row r="11" customFormat="false" ht="19.7" hidden="false" customHeight="false" outlineLevel="0" collapsed="false">
      <c r="B11" s="83" t="s">
        <v>29</v>
      </c>
      <c r="C11" s="84" t="s">
        <v>30</v>
      </c>
      <c r="D11" s="45" t="n">
        <v>5</v>
      </c>
      <c r="E11" s="45" t="n">
        <v>5</v>
      </c>
      <c r="F11" s="45" t="n">
        <v>2</v>
      </c>
      <c r="G11" s="45" t="n">
        <v>5</v>
      </c>
      <c r="H11" s="45" t="n">
        <v>8</v>
      </c>
      <c r="I11" s="45" t="n">
        <v>5</v>
      </c>
      <c r="J11" s="45" t="n">
        <v>8</v>
      </c>
      <c r="K11" s="45" t="n">
        <v>8</v>
      </c>
      <c r="L11" s="45" t="n">
        <v>5</v>
      </c>
      <c r="M11" s="39" t="n">
        <v>5</v>
      </c>
      <c r="N11" s="48" t="n">
        <f aca="false">AVERAGE(D11:M11)</f>
        <v>5.6</v>
      </c>
      <c r="O11" s="45" t="n">
        <v>705072</v>
      </c>
      <c r="P11" s="45" t="n">
        <v>694215</v>
      </c>
      <c r="Q11" s="45" t="n">
        <v>712115</v>
      </c>
      <c r="R11" s="45" t="n">
        <v>708569</v>
      </c>
      <c r="S11" s="45" t="n">
        <v>712563</v>
      </c>
      <c r="T11" s="45" t="n">
        <v>704568</v>
      </c>
      <c r="U11" s="45" t="n">
        <v>712539</v>
      </c>
      <c r="V11" s="45" t="n">
        <v>695842</v>
      </c>
      <c r="W11" s="45" t="n">
        <v>693569</v>
      </c>
      <c r="X11" s="39" t="n">
        <v>712586</v>
      </c>
      <c r="Y11" s="48" t="n">
        <f aca="false">AVERAGE(O11:X11)</f>
        <v>705163.8</v>
      </c>
      <c r="Z11" s="45" t="n">
        <v>691440</v>
      </c>
      <c r="AA11" s="45" t="n">
        <v>675877</v>
      </c>
      <c r="AB11" s="45" t="n">
        <v>680401</v>
      </c>
      <c r="AC11" s="45" t="n">
        <v>675896</v>
      </c>
      <c r="AD11" s="45" t="n">
        <v>685012</v>
      </c>
      <c r="AE11" s="45" t="n">
        <v>680025</v>
      </c>
      <c r="AF11" s="45" t="n">
        <v>674125</v>
      </c>
      <c r="AG11" s="45" t="n">
        <v>691452</v>
      </c>
      <c r="AH11" s="45" t="n">
        <v>693589</v>
      </c>
      <c r="AI11" s="39" t="n">
        <v>678956</v>
      </c>
      <c r="AJ11" s="48" t="n">
        <f aca="false">AVERAGE(Z11:AI11)</f>
        <v>682677.3</v>
      </c>
    </row>
    <row r="12" customFormat="false" ht="19.7" hidden="false" customHeight="false" outlineLevel="0" collapsed="false">
      <c r="B12" s="85" t="s">
        <v>31</v>
      </c>
      <c r="C12" s="86" t="s">
        <v>32</v>
      </c>
      <c r="D12" s="87" t="n">
        <v>1</v>
      </c>
      <c r="E12" s="87" t="n">
        <v>1</v>
      </c>
      <c r="F12" s="87" t="n">
        <v>0</v>
      </c>
      <c r="G12" s="87" t="n">
        <v>1</v>
      </c>
      <c r="H12" s="87" t="n">
        <v>2</v>
      </c>
      <c r="I12" s="87" t="n">
        <v>1</v>
      </c>
      <c r="J12" s="87" t="n">
        <v>1</v>
      </c>
      <c r="K12" s="87" t="n">
        <v>2</v>
      </c>
      <c r="L12" s="87" t="n">
        <v>0</v>
      </c>
      <c r="M12" s="42" t="n">
        <v>0</v>
      </c>
      <c r="N12" s="48" t="n">
        <f aca="false">AVERAGE(D12:M12)</f>
        <v>0.9</v>
      </c>
      <c r="O12" s="87" t="n">
        <v>725072</v>
      </c>
      <c r="P12" s="87" t="n">
        <v>714215</v>
      </c>
      <c r="Q12" s="87" t="n">
        <v>732115</v>
      </c>
      <c r="R12" s="87" t="n">
        <v>721596</v>
      </c>
      <c r="S12" s="87" t="n">
        <v>725963</v>
      </c>
      <c r="T12" s="87" t="n">
        <v>715269</v>
      </c>
      <c r="U12" s="87" t="n">
        <v>701548</v>
      </c>
      <c r="V12" s="87" t="n">
        <v>723596</v>
      </c>
      <c r="W12" s="87" t="n">
        <v>712895</v>
      </c>
      <c r="X12" s="42" t="n">
        <v>702563</v>
      </c>
      <c r="Y12" s="48" t="n">
        <f aca="false">AVERAGE(O12:X12)</f>
        <v>717483.2</v>
      </c>
      <c r="Z12" s="87" t="n">
        <v>711458</v>
      </c>
      <c r="AA12" s="87" t="n">
        <v>695895</v>
      </c>
      <c r="AB12" s="87" t="n">
        <v>700419</v>
      </c>
      <c r="AC12" s="87" t="n">
        <v>702563</v>
      </c>
      <c r="AD12" s="87" t="n">
        <v>694589</v>
      </c>
      <c r="AE12" s="87" t="n">
        <v>685369</v>
      </c>
      <c r="AF12" s="87" t="n">
        <v>69256</v>
      </c>
      <c r="AG12" s="87" t="n">
        <v>701258</v>
      </c>
      <c r="AH12" s="87" t="n">
        <v>712563</v>
      </c>
      <c r="AI12" s="42" t="n">
        <v>725963</v>
      </c>
      <c r="AJ12" s="48" t="n">
        <f aca="false">AVERAGE(Z12:AI12)</f>
        <v>639933.3</v>
      </c>
    </row>
    <row r="15" customFormat="false" ht="24.45" hidden="false" customHeight="false" outlineLevel="0" collapsed="false">
      <c r="D15" s="67" t="s">
        <v>14</v>
      </c>
      <c r="E15" s="67"/>
      <c r="F15" s="68" t="n">
        <v>20000</v>
      </c>
      <c r="G15" s="68"/>
      <c r="H15" s="69" t="s">
        <v>15</v>
      </c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</row>
    <row r="16" customFormat="false" ht="22.05" hidden="false" customHeight="false" outlineLevel="0" collapsed="false">
      <c r="D16" s="70" t="s">
        <v>4</v>
      </c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 t="s">
        <v>5</v>
      </c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 t="s">
        <v>16</v>
      </c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</row>
    <row r="17" customFormat="false" ht="34.3" hidden="false" customHeight="false" outlineLevel="0" collapsed="false">
      <c r="B17" s="71" t="s">
        <v>17</v>
      </c>
      <c r="C17" s="72" t="s">
        <v>18</v>
      </c>
      <c r="D17" s="88" t="s">
        <v>33</v>
      </c>
      <c r="E17" s="89" t="n">
        <v>1</v>
      </c>
      <c r="F17" s="89" t="n">
        <v>2</v>
      </c>
      <c r="G17" s="89" t="n">
        <v>3</v>
      </c>
      <c r="H17" s="89" t="n">
        <v>4</v>
      </c>
      <c r="I17" s="89" t="n">
        <v>5</v>
      </c>
      <c r="J17" s="89" t="n">
        <v>6</v>
      </c>
      <c r="K17" s="89" t="n">
        <v>7</v>
      </c>
      <c r="L17" s="89" t="n">
        <v>8</v>
      </c>
      <c r="M17" s="89" t="n">
        <v>9</v>
      </c>
      <c r="N17" s="89" t="n">
        <v>10</v>
      </c>
      <c r="O17" s="90" t="s">
        <v>19</v>
      </c>
      <c r="P17" s="88" t="s">
        <v>33</v>
      </c>
      <c r="Q17" s="89" t="n">
        <v>1</v>
      </c>
      <c r="R17" s="89" t="n">
        <v>2</v>
      </c>
      <c r="S17" s="89" t="n">
        <v>3</v>
      </c>
      <c r="T17" s="89" t="n">
        <v>4</v>
      </c>
      <c r="U17" s="89" t="n">
        <v>5</v>
      </c>
      <c r="V17" s="89" t="n">
        <v>6</v>
      </c>
      <c r="W17" s="89" t="n">
        <v>7</v>
      </c>
      <c r="X17" s="89" t="n">
        <v>8</v>
      </c>
      <c r="Y17" s="89" t="n">
        <v>9</v>
      </c>
      <c r="Z17" s="89" t="n">
        <v>10</v>
      </c>
      <c r="AA17" s="90" t="s">
        <v>19</v>
      </c>
      <c r="AB17" s="88" t="s">
        <v>33</v>
      </c>
      <c r="AC17" s="89" t="n">
        <v>1</v>
      </c>
      <c r="AD17" s="89" t="n">
        <v>2</v>
      </c>
      <c r="AE17" s="89" t="n">
        <v>3</v>
      </c>
      <c r="AF17" s="89" t="n">
        <v>4</v>
      </c>
      <c r="AG17" s="89" t="n">
        <v>5</v>
      </c>
      <c r="AH17" s="89" t="n">
        <v>6</v>
      </c>
      <c r="AI17" s="89" t="n">
        <v>7</v>
      </c>
      <c r="AJ17" s="89" t="n">
        <v>8</v>
      </c>
      <c r="AK17" s="89" t="n">
        <v>9</v>
      </c>
      <c r="AL17" s="89" t="n">
        <v>10</v>
      </c>
      <c r="AM17" s="90" t="s">
        <v>19</v>
      </c>
    </row>
    <row r="18" customFormat="false" ht="31.3" hidden="false" customHeight="false" outlineLevel="0" collapsed="false">
      <c r="B18" s="77" t="s">
        <v>20</v>
      </c>
      <c r="C18" s="78" t="s">
        <v>21</v>
      </c>
      <c r="D18" s="91" t="n">
        <v>40000</v>
      </c>
      <c r="E18" s="14" t="n">
        <v>2560</v>
      </c>
      <c r="F18" s="14" t="n">
        <v>3050</v>
      </c>
      <c r="G18" s="14" t="n">
        <v>2756</v>
      </c>
      <c r="H18" s="14" t="n">
        <v>3125</v>
      </c>
      <c r="I18" s="14" t="n">
        <v>2689</v>
      </c>
      <c r="J18" s="14" t="n">
        <v>3145</v>
      </c>
      <c r="K18" s="14" t="n">
        <v>3069</v>
      </c>
      <c r="L18" s="14" t="n">
        <v>2435</v>
      </c>
      <c r="M18" s="14" t="n">
        <v>2896</v>
      </c>
      <c r="N18" s="14" t="n">
        <v>2368</v>
      </c>
      <c r="O18" s="92" t="n">
        <f aca="false">AVERAGE(E18:N18)</f>
        <v>2809.3</v>
      </c>
      <c r="P18" s="93" t="n">
        <v>199990000</v>
      </c>
      <c r="Q18" s="93" t="n">
        <v>199990000</v>
      </c>
      <c r="R18" s="93" t="n">
        <v>199990000</v>
      </c>
      <c r="S18" s="93" t="n">
        <v>199990000</v>
      </c>
      <c r="T18" s="93" t="n">
        <v>199990000</v>
      </c>
      <c r="U18" s="93" t="n">
        <v>199990000</v>
      </c>
      <c r="V18" s="93" t="n">
        <v>199990000</v>
      </c>
      <c r="W18" s="93" t="n">
        <v>199990000</v>
      </c>
      <c r="X18" s="93" t="n">
        <v>199990000</v>
      </c>
      <c r="Y18" s="93" t="n">
        <v>199990000</v>
      </c>
      <c r="Z18" s="93" t="n">
        <v>199990000</v>
      </c>
      <c r="AA18" s="92" t="n">
        <f aca="false">AVERAGE(Q18:Z18)</f>
        <v>199990000</v>
      </c>
      <c r="AB18" s="94" t="s">
        <v>34</v>
      </c>
      <c r="AC18" s="0" t="n">
        <v>98632878</v>
      </c>
      <c r="AD18" s="0" t="n">
        <v>99738972</v>
      </c>
      <c r="AE18" s="0" t="n">
        <v>99134155</v>
      </c>
      <c r="AF18" s="0" t="n">
        <v>99009065</v>
      </c>
      <c r="AG18" s="0" t="n">
        <v>98427961</v>
      </c>
      <c r="AH18" s="0" t="n">
        <v>99622643</v>
      </c>
      <c r="AI18" s="0" t="n">
        <v>99708328</v>
      </c>
      <c r="AJ18" s="0" t="n">
        <v>99112493</v>
      </c>
      <c r="AK18" s="0" t="n">
        <v>98819621</v>
      </c>
      <c r="AL18" s="0" t="n">
        <v>98537724</v>
      </c>
      <c r="AM18" s="92" t="n">
        <f aca="false">AVERAGE(AC18:AL18)</f>
        <v>99074384</v>
      </c>
    </row>
    <row r="19" customFormat="false" ht="19.7" hidden="false" customHeight="false" outlineLevel="0" collapsed="false">
      <c r="B19" s="81" t="s">
        <v>22</v>
      </c>
      <c r="C19" s="82" t="s">
        <v>23</v>
      </c>
      <c r="D19" s="91" t="n">
        <v>40000</v>
      </c>
      <c r="E19" s="24" t="n">
        <v>1010</v>
      </c>
      <c r="F19" s="24" t="n">
        <v>1489</v>
      </c>
      <c r="G19" s="24" t="n">
        <v>1356</v>
      </c>
      <c r="H19" s="24" t="n">
        <v>1759</v>
      </c>
      <c r="I19" s="24" t="n">
        <v>1256</v>
      </c>
      <c r="J19" s="24" t="n">
        <v>1258</v>
      </c>
      <c r="K19" s="24" t="n">
        <v>1245</v>
      </c>
      <c r="L19" s="24" t="n">
        <v>1189</v>
      </c>
      <c r="M19" s="24" t="n">
        <v>1345</v>
      </c>
      <c r="N19" s="24" t="n">
        <v>1256</v>
      </c>
      <c r="O19" s="92" t="n">
        <f aca="false">AVERAGE(E19:N19)</f>
        <v>1316.3</v>
      </c>
      <c r="P19" s="93" t="n">
        <v>199990000</v>
      </c>
      <c r="Q19" s="93" t="n">
        <v>199990000</v>
      </c>
      <c r="R19" s="93" t="n">
        <v>199990000</v>
      </c>
      <c r="S19" s="93" t="n">
        <v>199990000</v>
      </c>
      <c r="T19" s="93" t="n">
        <v>199990000</v>
      </c>
      <c r="U19" s="93" t="n">
        <v>199990000</v>
      </c>
      <c r="V19" s="93" t="n">
        <v>199990000</v>
      </c>
      <c r="W19" s="93" t="n">
        <v>199990000</v>
      </c>
      <c r="X19" s="93" t="n">
        <v>199990000</v>
      </c>
      <c r="Y19" s="93" t="n">
        <v>199990000</v>
      </c>
      <c r="Z19" s="93" t="n">
        <v>199990000</v>
      </c>
      <c r="AA19" s="92" t="n">
        <f aca="false">AVERAGE(Q19:Z19)</f>
        <v>199990000</v>
      </c>
      <c r="AB19" s="34" t="n">
        <v>20000</v>
      </c>
      <c r="AC19" s="0" t="n">
        <v>20000</v>
      </c>
      <c r="AD19" s="0" t="n">
        <v>20000</v>
      </c>
      <c r="AE19" s="0" t="n">
        <v>20000</v>
      </c>
      <c r="AF19" s="0" t="n">
        <v>20000</v>
      </c>
      <c r="AG19" s="0" t="n">
        <v>20000</v>
      </c>
      <c r="AH19" s="0" t="n">
        <v>20000</v>
      </c>
      <c r="AI19" s="0" t="n">
        <v>20000</v>
      </c>
      <c r="AJ19" s="0" t="n">
        <v>20000</v>
      </c>
      <c r="AK19" s="0" t="n">
        <v>20000</v>
      </c>
      <c r="AL19" s="0" t="n">
        <v>20000</v>
      </c>
      <c r="AM19" s="92" t="n">
        <f aca="false">AVERAGE(AC19:AL19)</f>
        <v>20000</v>
      </c>
    </row>
    <row r="20" customFormat="false" ht="31.3" hidden="false" customHeight="false" outlineLevel="0" collapsed="false">
      <c r="B20" s="81" t="s">
        <v>24</v>
      </c>
      <c r="C20" s="82" t="s">
        <v>25</v>
      </c>
      <c r="D20" s="91" t="n">
        <v>40000</v>
      </c>
      <c r="E20" s="24" t="n">
        <v>851</v>
      </c>
      <c r="F20" s="24" t="n">
        <v>1645</v>
      </c>
      <c r="G20" s="24" t="n">
        <v>9859</v>
      </c>
      <c r="H20" s="24" t="n">
        <v>984</v>
      </c>
      <c r="I20" s="24" t="n">
        <v>1125</v>
      </c>
      <c r="J20" s="24" t="n">
        <v>1650</v>
      </c>
      <c r="K20" s="24" t="n">
        <v>986</v>
      </c>
      <c r="L20" s="24" t="n">
        <v>13560</v>
      </c>
      <c r="M20" s="24" t="n">
        <v>1256</v>
      </c>
      <c r="N20" s="24" t="n">
        <v>1489</v>
      </c>
      <c r="O20" s="92" t="n">
        <f aca="false">AVERAGE(E20:N20)</f>
        <v>3340.5</v>
      </c>
      <c r="P20" s="93" t="n">
        <v>199990000</v>
      </c>
      <c r="Q20" s="93" t="n">
        <v>199990000</v>
      </c>
      <c r="R20" s="93" t="n">
        <v>199990000</v>
      </c>
      <c r="S20" s="93" t="n">
        <v>199990000</v>
      </c>
      <c r="T20" s="93" t="n">
        <v>199990000</v>
      </c>
      <c r="U20" s="93" t="n">
        <v>199990000</v>
      </c>
      <c r="V20" s="93" t="n">
        <v>199990000</v>
      </c>
      <c r="W20" s="93" t="n">
        <v>199990000</v>
      </c>
      <c r="X20" s="93" t="n">
        <v>199990000</v>
      </c>
      <c r="Y20" s="93" t="n">
        <v>199990000</v>
      </c>
      <c r="Z20" s="93" t="n">
        <v>199990000</v>
      </c>
      <c r="AA20" s="92" t="n">
        <f aca="false">AVERAGE(Q20:Z20)</f>
        <v>199990000</v>
      </c>
      <c r="AB20" s="94" t="s">
        <v>34</v>
      </c>
      <c r="AC20" s="0" t="n">
        <v>98652877</v>
      </c>
      <c r="AD20" s="0" t="n">
        <v>99758971</v>
      </c>
      <c r="AE20" s="0" t="n">
        <v>99154154</v>
      </c>
      <c r="AF20" s="0" t="n">
        <v>99029064</v>
      </c>
      <c r="AG20" s="0" t="n">
        <v>98447960</v>
      </c>
      <c r="AH20" s="0" t="n">
        <v>99642642</v>
      </c>
      <c r="AI20" s="0" t="n">
        <v>99728327</v>
      </c>
      <c r="AJ20" s="0" t="n">
        <v>99132492</v>
      </c>
      <c r="AK20" s="0" t="n">
        <v>98839620</v>
      </c>
      <c r="AL20" s="0" t="n">
        <v>98557723</v>
      </c>
      <c r="AM20" s="92" t="n">
        <f aca="false">AVERAGE(AC20:AL20)</f>
        <v>99094383</v>
      </c>
    </row>
    <row r="21" customFormat="false" ht="19.7" hidden="false" customHeight="false" outlineLevel="0" collapsed="false">
      <c r="B21" s="81" t="s">
        <v>26</v>
      </c>
      <c r="C21" s="82" t="s">
        <v>27</v>
      </c>
      <c r="D21" s="91" t="n">
        <v>40000</v>
      </c>
      <c r="E21" s="24" t="n">
        <v>5</v>
      </c>
      <c r="F21" s="24" t="n">
        <v>8</v>
      </c>
      <c r="G21" s="24" t="n">
        <v>6</v>
      </c>
      <c r="H21" s="24" t="n">
        <v>6</v>
      </c>
      <c r="I21" s="24" t="n">
        <v>8</v>
      </c>
      <c r="J21" s="24" t="n">
        <v>7</v>
      </c>
      <c r="K21" s="24" t="n">
        <v>7</v>
      </c>
      <c r="L21" s="24" t="n">
        <v>5</v>
      </c>
      <c r="M21" s="24" t="n">
        <v>6</v>
      </c>
      <c r="N21" s="24" t="n">
        <v>5</v>
      </c>
      <c r="O21" s="92" t="n">
        <f aca="false">AVERAGE(E21:N21)</f>
        <v>6.3</v>
      </c>
      <c r="P21" s="93" t="n">
        <v>285800</v>
      </c>
      <c r="Q21" s="24" t="n">
        <v>19999</v>
      </c>
      <c r="R21" s="24" t="n">
        <v>19999</v>
      </c>
      <c r="S21" s="24" t="n">
        <v>19999</v>
      </c>
      <c r="T21" s="24" t="n">
        <v>19999</v>
      </c>
      <c r="U21" s="24" t="n">
        <v>19999</v>
      </c>
      <c r="V21" s="24" t="n">
        <v>19999</v>
      </c>
      <c r="W21" s="24" t="n">
        <v>19999</v>
      </c>
      <c r="X21" s="24" t="n">
        <v>19999</v>
      </c>
      <c r="Y21" s="24" t="n">
        <v>19999</v>
      </c>
      <c r="Z21" s="24" t="n">
        <v>19999</v>
      </c>
      <c r="AA21" s="92" t="n">
        <f aca="false">AVERAGE(Q21:Z21)</f>
        <v>19999</v>
      </c>
      <c r="AB21" s="34" t="n">
        <v>285800</v>
      </c>
      <c r="AC21" s="0" t="n">
        <v>99641605</v>
      </c>
      <c r="AD21" s="0" t="n">
        <v>100714412</v>
      </c>
      <c r="AE21" s="0" t="n">
        <v>100138414</v>
      </c>
      <c r="AF21" s="0" t="n">
        <v>99981886</v>
      </c>
      <c r="AG21" s="0" t="n">
        <v>99406938</v>
      </c>
      <c r="AH21" s="0" t="n">
        <v>100571014</v>
      </c>
      <c r="AI21" s="0" t="n">
        <v>100715367</v>
      </c>
      <c r="AJ21" s="0" t="n">
        <v>100117780</v>
      </c>
      <c r="AK21" s="0" t="n">
        <v>99812873</v>
      </c>
      <c r="AL21" s="0" t="n">
        <v>99554373</v>
      </c>
      <c r="AM21" s="92" t="n">
        <f aca="false">AVERAGE(AC21:AL21)</f>
        <v>100065466.2</v>
      </c>
    </row>
    <row r="22" customFormat="false" ht="19.7" hidden="false" customHeight="false" outlineLevel="0" collapsed="false">
      <c r="B22" s="81" t="s">
        <v>28</v>
      </c>
      <c r="C22" s="82" t="s">
        <v>27</v>
      </c>
      <c r="D22" s="95" t="n">
        <v>28.58</v>
      </c>
      <c r="E22" s="24" t="n">
        <v>12</v>
      </c>
      <c r="F22" s="24" t="n">
        <v>19</v>
      </c>
      <c r="G22" s="24" t="n">
        <v>15</v>
      </c>
      <c r="H22" s="24" t="n">
        <v>15</v>
      </c>
      <c r="I22" s="24" t="n">
        <v>12</v>
      </c>
      <c r="J22" s="24" t="n">
        <v>14</v>
      </c>
      <c r="K22" s="24" t="n">
        <v>13</v>
      </c>
      <c r="L22" s="24" t="n">
        <v>15</v>
      </c>
      <c r="M22" s="24" t="n">
        <v>16</v>
      </c>
      <c r="N22" s="24" t="n">
        <v>17</v>
      </c>
      <c r="O22" s="92" t="n">
        <f aca="false">AVERAGE(E22:N22)</f>
        <v>14.8</v>
      </c>
      <c r="P22" s="93" t="n">
        <v>285800</v>
      </c>
      <c r="Q22" s="24" t="n">
        <v>2165534</v>
      </c>
      <c r="R22" s="24" t="n">
        <v>2345369</v>
      </c>
      <c r="S22" s="24" t="n">
        <v>278963</v>
      </c>
      <c r="T22" s="24" t="n">
        <v>2658945</v>
      </c>
      <c r="U22" s="24" t="n">
        <v>2563894</v>
      </c>
      <c r="V22" s="24" t="n">
        <v>2689456</v>
      </c>
      <c r="W22" s="24" t="n">
        <v>2653425</v>
      </c>
      <c r="X22" s="24" t="n">
        <v>2789456</v>
      </c>
      <c r="Y22" s="24" t="n">
        <v>2812345</v>
      </c>
      <c r="Z22" s="24" t="n">
        <v>2456383</v>
      </c>
      <c r="AA22" s="92" t="n">
        <f aca="false">AVERAGE(Q22:Z22)</f>
        <v>2341377</v>
      </c>
      <c r="AB22" s="34" t="n">
        <v>285800</v>
      </c>
      <c r="AC22" s="0" t="n">
        <v>2088639</v>
      </c>
      <c r="AD22" s="0" t="n">
        <v>2098120</v>
      </c>
      <c r="AE22" s="0" t="n">
        <v>2085582</v>
      </c>
      <c r="AF22" s="0" t="n">
        <v>2087458</v>
      </c>
      <c r="AG22" s="0" t="n">
        <v>2133288</v>
      </c>
      <c r="AH22" s="0" t="n">
        <v>2105694</v>
      </c>
      <c r="AI22" s="0" t="n">
        <v>2099973</v>
      </c>
      <c r="AJ22" s="0" t="n">
        <v>2094154</v>
      </c>
      <c r="AK22" s="0" t="n">
        <v>2107566</v>
      </c>
      <c r="AL22" s="0" t="n">
        <v>2093407</v>
      </c>
      <c r="AM22" s="92" t="n">
        <f aca="false">AVERAGE(AC22:AL22)</f>
        <v>2099388.1</v>
      </c>
    </row>
    <row r="23" customFormat="false" ht="19.7" hidden="false" customHeight="false" outlineLevel="0" collapsed="false">
      <c r="B23" s="83" t="s">
        <v>29</v>
      </c>
      <c r="C23" s="84" t="s">
        <v>30</v>
      </c>
      <c r="D23" s="96" t="n">
        <v>10</v>
      </c>
      <c r="E23" s="39" t="n">
        <v>6</v>
      </c>
      <c r="F23" s="39" t="n">
        <v>8</v>
      </c>
      <c r="G23" s="39" t="n">
        <v>7</v>
      </c>
      <c r="H23" s="39" t="n">
        <v>6</v>
      </c>
      <c r="I23" s="39" t="n">
        <v>6</v>
      </c>
      <c r="J23" s="39" t="n">
        <v>6</v>
      </c>
      <c r="K23" s="39" t="n">
        <v>7</v>
      </c>
      <c r="L23" s="39" t="n">
        <v>7</v>
      </c>
      <c r="M23" s="39" t="n">
        <v>5</v>
      </c>
      <c r="N23" s="39" t="n">
        <v>8</v>
      </c>
      <c r="O23" s="92" t="n">
        <f aca="false">AVERAGE(E23:N23)</f>
        <v>6.6</v>
      </c>
      <c r="P23" s="97" t="n">
        <v>285800</v>
      </c>
      <c r="Q23" s="39" t="n">
        <v>2654856</v>
      </c>
      <c r="R23" s="39" t="n">
        <v>2345689</v>
      </c>
      <c r="S23" s="39" t="n">
        <v>2356481</v>
      </c>
      <c r="T23" s="39" t="n">
        <v>2563458</v>
      </c>
      <c r="U23" s="39" t="n">
        <v>2456389</v>
      </c>
      <c r="V23" s="39" t="n">
        <v>2563894</v>
      </c>
      <c r="W23" s="39" t="n">
        <v>2856349</v>
      </c>
      <c r="X23" s="39" t="n">
        <v>2745632</v>
      </c>
      <c r="Y23" s="39" t="n">
        <v>2635894</v>
      </c>
      <c r="Z23" s="39" t="n">
        <v>2356489</v>
      </c>
      <c r="AA23" s="92" t="n">
        <f aca="false">AVERAGE(Q23:Z23)</f>
        <v>2553513.1</v>
      </c>
      <c r="AB23" s="97" t="n">
        <v>285800</v>
      </c>
      <c r="AC23" s="0" t="n">
        <v>287232</v>
      </c>
      <c r="AD23" s="0" t="n">
        <v>287232</v>
      </c>
      <c r="AE23" s="0" t="n">
        <v>287232</v>
      </c>
      <c r="AF23" s="0" t="n">
        <v>287232</v>
      </c>
      <c r="AG23" s="0" t="n">
        <v>287232</v>
      </c>
      <c r="AH23" s="0" t="n">
        <v>287232</v>
      </c>
      <c r="AI23" s="0" t="n">
        <v>287232</v>
      </c>
      <c r="AJ23" s="0" t="n">
        <v>287232</v>
      </c>
      <c r="AK23" s="0" t="n">
        <v>287232</v>
      </c>
      <c r="AL23" s="0" t="n">
        <v>287232</v>
      </c>
      <c r="AM23" s="92" t="n">
        <f aca="false">AVERAGE(AC23:AL23)</f>
        <v>287232</v>
      </c>
    </row>
    <row r="24" customFormat="false" ht="19.7" hidden="false" customHeight="false" outlineLevel="0" collapsed="false">
      <c r="B24" s="85" t="s">
        <v>31</v>
      </c>
      <c r="C24" s="86" t="s">
        <v>32</v>
      </c>
      <c r="D24" s="98" t="n">
        <v>2858</v>
      </c>
      <c r="E24" s="42" t="n">
        <v>1</v>
      </c>
      <c r="F24" s="42" t="n">
        <v>1</v>
      </c>
      <c r="G24" s="42" t="n">
        <v>2</v>
      </c>
      <c r="H24" s="42" t="n">
        <v>1</v>
      </c>
      <c r="I24" s="42" t="n">
        <v>1</v>
      </c>
      <c r="J24" s="42" t="n">
        <v>2</v>
      </c>
      <c r="K24" s="42" t="n">
        <v>1</v>
      </c>
      <c r="L24" s="42" t="n">
        <v>2</v>
      </c>
      <c r="M24" s="42" t="n">
        <v>1</v>
      </c>
      <c r="N24" s="42" t="n">
        <v>3</v>
      </c>
      <c r="O24" s="92" t="n">
        <f aca="false">AVERAGE(E24:N24)</f>
        <v>1.5</v>
      </c>
      <c r="P24" s="93" t="n">
        <v>285800</v>
      </c>
      <c r="Q24" s="42" t="n">
        <v>2412035</v>
      </c>
      <c r="R24" s="42" t="n">
        <v>2301562</v>
      </c>
      <c r="S24" s="42" t="n">
        <v>2895090</v>
      </c>
      <c r="T24" s="42" t="n">
        <v>2630546</v>
      </c>
      <c r="U24" s="42" t="n">
        <v>2456389</v>
      </c>
      <c r="V24" s="42" t="n">
        <v>2635120</v>
      </c>
      <c r="W24" s="42" t="n">
        <v>245896</v>
      </c>
      <c r="X24" s="42" t="n">
        <v>2451302</v>
      </c>
      <c r="Y24" s="42" t="n">
        <v>2635621</v>
      </c>
      <c r="Z24" s="42" t="n">
        <v>263562</v>
      </c>
      <c r="AA24" s="92" t="n">
        <f aca="false">AVERAGE(Q24:Z24)</f>
        <v>2092712.3</v>
      </c>
      <c r="AB24" s="66" t="n">
        <v>285800</v>
      </c>
      <c r="AC24" s="0" t="n">
        <v>327250</v>
      </c>
      <c r="AD24" s="0" t="n">
        <v>327250</v>
      </c>
      <c r="AE24" s="0" t="n">
        <v>327250</v>
      </c>
      <c r="AF24" s="0" t="n">
        <v>327250</v>
      </c>
      <c r="AG24" s="0" t="n">
        <v>327250</v>
      </c>
      <c r="AH24" s="0" t="n">
        <v>327250</v>
      </c>
      <c r="AI24" s="0" t="n">
        <v>327250</v>
      </c>
      <c r="AJ24" s="0" t="n">
        <v>327250</v>
      </c>
      <c r="AK24" s="0" t="n">
        <v>327250</v>
      </c>
      <c r="AL24" s="0" t="n">
        <v>327250</v>
      </c>
      <c r="AM24" s="92" t="n">
        <f aca="false">AVERAGE(AC24:AL24)</f>
        <v>327250</v>
      </c>
    </row>
    <row r="25" customFormat="false" ht="14.25" hidden="false" customHeight="false" outlineLevel="0" collapsed="false">
      <c r="AC25" s="0"/>
    </row>
    <row r="26" customFormat="false" ht="14.25" hidden="false" customHeight="false" outlineLevel="0" collapsed="false">
      <c r="AC26" s="0"/>
    </row>
    <row r="42" customFormat="false" ht="14.25" hidden="false" customHeight="false" outlineLevel="0" collapsed="false">
      <c r="C42" s="2" t="n">
        <v>136202400</v>
      </c>
      <c r="D42" s="2" t="n">
        <v>119578900</v>
      </c>
      <c r="E42" s="2"/>
      <c r="F42" s="2"/>
      <c r="G42" s="2"/>
      <c r="H42" s="2"/>
      <c r="I42" s="2"/>
      <c r="J42" s="2"/>
      <c r="K42" s="2"/>
      <c r="L42" s="2"/>
      <c r="M42" s="2" t="n">
        <v>111280300</v>
      </c>
      <c r="N42" s="2" t="n">
        <v>112510500</v>
      </c>
      <c r="O42" s="2" t="n">
        <v>119578900</v>
      </c>
      <c r="P42" s="2"/>
      <c r="Q42" s="2"/>
      <c r="R42" s="2"/>
      <c r="S42" s="2"/>
      <c r="T42" s="2"/>
      <c r="U42" s="2"/>
      <c r="V42" s="2"/>
      <c r="W42" s="2"/>
      <c r="X42" s="2" t="n">
        <v>111280300</v>
      </c>
      <c r="Y42" s="2" t="n">
        <v>112510500</v>
      </c>
      <c r="Z42" s="2" t="n">
        <v>119578900</v>
      </c>
      <c r="AA42" s="2"/>
      <c r="AB42" s="2"/>
      <c r="AC42" s="2"/>
      <c r="AD42" s="2"/>
      <c r="AE42" s="2"/>
      <c r="AF42" s="2"/>
      <c r="AG42" s="2"/>
      <c r="AH42" s="2"/>
      <c r="AI42" s="2" t="n">
        <v>111280300</v>
      </c>
      <c r="AJ42" s="2" t="n">
        <v>112510500</v>
      </c>
    </row>
    <row r="43" customFormat="false" ht="14.25" hidden="false" customHeight="false" outlineLevel="0" collapsed="false">
      <c r="C43" s="2" t="n">
        <v>219679200</v>
      </c>
      <c r="D43" s="2" t="n">
        <v>199543000</v>
      </c>
      <c r="E43" s="2"/>
      <c r="F43" s="2"/>
      <c r="G43" s="2"/>
      <c r="H43" s="2"/>
      <c r="I43" s="2"/>
      <c r="J43" s="2"/>
      <c r="K43" s="2"/>
      <c r="L43" s="2"/>
      <c r="M43" s="2" t="n">
        <v>101999400</v>
      </c>
      <c r="N43" s="2" t="n">
        <v>99809600</v>
      </c>
      <c r="O43" s="2" t="n">
        <v>199543000</v>
      </c>
      <c r="P43" s="2"/>
      <c r="Q43" s="2"/>
      <c r="R43" s="2"/>
      <c r="S43" s="2"/>
      <c r="T43" s="2"/>
      <c r="U43" s="2"/>
      <c r="V43" s="2"/>
      <c r="W43" s="2"/>
      <c r="X43" s="2" t="n">
        <v>101999400</v>
      </c>
      <c r="Y43" s="2" t="n">
        <v>99809600</v>
      </c>
      <c r="Z43" s="2" t="n">
        <v>199543000</v>
      </c>
      <c r="AA43" s="2"/>
      <c r="AB43" s="2"/>
      <c r="AC43" s="2"/>
      <c r="AD43" s="2"/>
      <c r="AE43" s="2"/>
      <c r="AF43" s="2"/>
      <c r="AG43" s="2"/>
      <c r="AH43" s="2"/>
      <c r="AI43" s="2" t="n">
        <v>101999400</v>
      </c>
      <c r="AJ43" s="2" t="n">
        <v>99809600</v>
      </c>
    </row>
    <row r="44" customFormat="false" ht="14.25" hidden="false" customHeight="false" outlineLevel="0" collapsed="false">
      <c r="C44" s="2" t="n">
        <v>115686400</v>
      </c>
      <c r="D44" s="2" t="n">
        <v>91045300</v>
      </c>
      <c r="E44" s="2"/>
      <c r="F44" s="2"/>
      <c r="G44" s="2"/>
      <c r="H44" s="2"/>
      <c r="I44" s="2"/>
      <c r="J44" s="2"/>
      <c r="K44" s="2"/>
      <c r="L44" s="2"/>
      <c r="M44" s="2" t="n">
        <v>111492400</v>
      </c>
      <c r="N44" s="2" t="n">
        <v>75313700</v>
      </c>
      <c r="O44" s="2" t="n">
        <v>91045300</v>
      </c>
      <c r="P44" s="2"/>
      <c r="Q44" s="2"/>
      <c r="R44" s="2"/>
      <c r="S44" s="2"/>
      <c r="T44" s="2"/>
      <c r="U44" s="2"/>
      <c r="V44" s="2"/>
      <c r="W44" s="2"/>
      <c r="X44" s="2" t="n">
        <v>111492400</v>
      </c>
      <c r="Y44" s="2" t="n">
        <v>75313700</v>
      </c>
      <c r="Z44" s="2" t="n">
        <v>91045300</v>
      </c>
      <c r="AA44" s="2"/>
      <c r="AB44" s="2"/>
      <c r="AC44" s="2"/>
      <c r="AD44" s="2"/>
      <c r="AE44" s="2"/>
      <c r="AF44" s="2"/>
      <c r="AG44" s="2"/>
      <c r="AH44" s="2"/>
      <c r="AI44" s="2" t="n">
        <v>111492400</v>
      </c>
      <c r="AJ44" s="2" t="n">
        <v>75313700</v>
      </c>
    </row>
    <row r="45" customFormat="false" ht="14.25" hidden="false" customHeight="false" outlineLevel="0" collapsed="false">
      <c r="C45" s="2" t="n">
        <v>101113500</v>
      </c>
      <c r="D45" s="2" t="n">
        <v>84692200</v>
      </c>
      <c r="E45" s="2"/>
      <c r="F45" s="2"/>
      <c r="G45" s="2"/>
      <c r="H45" s="2"/>
      <c r="I45" s="2"/>
      <c r="J45" s="2"/>
      <c r="K45" s="2"/>
      <c r="L45" s="2"/>
      <c r="M45" s="2" t="n">
        <v>86748500</v>
      </c>
      <c r="N45" s="2" t="n">
        <v>67565400</v>
      </c>
      <c r="O45" s="2" t="n">
        <v>84692200</v>
      </c>
      <c r="P45" s="2"/>
      <c r="Q45" s="2"/>
      <c r="R45" s="2"/>
      <c r="S45" s="2"/>
      <c r="T45" s="2"/>
      <c r="U45" s="2"/>
      <c r="V45" s="2"/>
      <c r="W45" s="2"/>
      <c r="X45" s="2" t="n">
        <v>86748500</v>
      </c>
      <c r="Y45" s="2" t="n">
        <v>67565400</v>
      </c>
      <c r="Z45" s="2" t="n">
        <v>84692200</v>
      </c>
      <c r="AA45" s="2"/>
      <c r="AB45" s="2"/>
      <c r="AC45" s="2"/>
      <c r="AD45" s="2"/>
      <c r="AE45" s="2"/>
      <c r="AF45" s="2"/>
      <c r="AG45" s="2"/>
      <c r="AH45" s="2"/>
      <c r="AI45" s="2" t="n">
        <v>86748500</v>
      </c>
      <c r="AJ45" s="2" t="n">
        <v>67565400</v>
      </c>
    </row>
    <row r="46" customFormat="false" ht="14.25" hidden="false" customHeight="false" outlineLevel="0" collapsed="false">
      <c r="C46" s="2" t="n">
        <v>82151000</v>
      </c>
      <c r="D46" s="2" t="n">
        <v>68291900</v>
      </c>
      <c r="E46" s="2"/>
      <c r="F46" s="2"/>
      <c r="G46" s="2"/>
      <c r="H46" s="2"/>
      <c r="I46" s="2"/>
      <c r="J46" s="2"/>
      <c r="K46" s="2"/>
      <c r="L46" s="2"/>
      <c r="M46" s="2" t="n">
        <v>33595100</v>
      </c>
      <c r="N46" s="2" t="n">
        <v>32426900</v>
      </c>
      <c r="O46" s="2" t="n">
        <v>68291900</v>
      </c>
      <c r="P46" s="2"/>
      <c r="Q46" s="2"/>
      <c r="R46" s="2"/>
      <c r="S46" s="2"/>
      <c r="T46" s="2"/>
      <c r="U46" s="2"/>
      <c r="V46" s="2"/>
      <c r="W46" s="2"/>
      <c r="X46" s="2" t="n">
        <v>33595100</v>
      </c>
      <c r="Y46" s="2" t="n">
        <v>32426900</v>
      </c>
      <c r="Z46" s="2" t="n">
        <v>68291900</v>
      </c>
      <c r="AA46" s="2"/>
      <c r="AB46" s="2"/>
      <c r="AC46" s="2"/>
      <c r="AD46" s="2"/>
      <c r="AE46" s="2"/>
      <c r="AF46" s="2"/>
      <c r="AG46" s="2"/>
      <c r="AH46" s="2"/>
      <c r="AI46" s="2" t="n">
        <v>33595100</v>
      </c>
      <c r="AJ46" s="2" t="n">
        <v>32426900</v>
      </c>
    </row>
    <row r="47" customFormat="false" ht="14.25" hidden="false" customHeight="false" outlineLevel="0" collapsed="false">
      <c r="C47" s="2" t="n">
        <v>37723100</v>
      </c>
      <c r="D47" s="2" t="n">
        <v>23003100</v>
      </c>
      <c r="E47" s="2"/>
      <c r="F47" s="2"/>
      <c r="G47" s="2"/>
      <c r="H47" s="2"/>
      <c r="I47" s="2"/>
      <c r="J47" s="2"/>
      <c r="K47" s="2"/>
      <c r="L47" s="2"/>
      <c r="M47" s="2" t="n">
        <v>19423800</v>
      </c>
      <c r="N47" s="2" t="n">
        <v>18671200</v>
      </c>
      <c r="O47" s="2" t="n">
        <v>23003100</v>
      </c>
      <c r="P47" s="2"/>
      <c r="Q47" s="2"/>
      <c r="R47" s="2"/>
      <c r="S47" s="2"/>
      <c r="T47" s="2"/>
      <c r="U47" s="2"/>
      <c r="V47" s="2"/>
      <c r="W47" s="2"/>
      <c r="X47" s="2" t="n">
        <v>19423800</v>
      </c>
      <c r="Y47" s="2" t="n">
        <v>18671200</v>
      </c>
      <c r="Z47" s="2" t="n">
        <v>23003100</v>
      </c>
      <c r="AA47" s="2"/>
      <c r="AB47" s="2"/>
      <c r="AC47" s="2"/>
      <c r="AD47" s="2"/>
      <c r="AE47" s="2"/>
      <c r="AF47" s="2"/>
      <c r="AG47" s="2"/>
      <c r="AH47" s="2"/>
      <c r="AI47" s="2" t="n">
        <v>19423800</v>
      </c>
      <c r="AJ47" s="2" t="n">
        <v>18671200</v>
      </c>
    </row>
    <row r="48" customFormat="false" ht="14.25" hidden="false" customHeight="false" outlineLevel="0" collapsed="false">
      <c r="C48" s="2" t="n">
        <v>8326500</v>
      </c>
      <c r="D48" s="2" t="n">
        <v>1216100</v>
      </c>
      <c r="E48" s="2"/>
      <c r="F48" s="2"/>
      <c r="G48" s="2"/>
      <c r="H48" s="2"/>
      <c r="I48" s="2"/>
      <c r="J48" s="2"/>
      <c r="K48" s="2"/>
      <c r="L48" s="2"/>
      <c r="M48" s="2" t="n">
        <v>957300</v>
      </c>
      <c r="N48" s="2" t="n">
        <v>943800</v>
      </c>
      <c r="O48" s="2" t="n">
        <v>1216100</v>
      </c>
      <c r="P48" s="2"/>
      <c r="Q48" s="2"/>
      <c r="R48" s="2"/>
      <c r="S48" s="2"/>
      <c r="T48" s="2"/>
      <c r="U48" s="2"/>
      <c r="V48" s="2"/>
      <c r="W48" s="2"/>
      <c r="X48" s="2" t="n">
        <v>957300</v>
      </c>
      <c r="Y48" s="2" t="n">
        <v>943800</v>
      </c>
      <c r="Z48" s="2" t="n">
        <v>1216100</v>
      </c>
      <c r="AA48" s="2"/>
      <c r="AB48" s="2"/>
      <c r="AC48" s="2"/>
      <c r="AD48" s="2"/>
      <c r="AE48" s="2"/>
      <c r="AF48" s="2"/>
      <c r="AG48" s="2"/>
      <c r="AH48" s="2"/>
      <c r="AI48" s="2" t="n">
        <v>957300</v>
      </c>
      <c r="AJ48" s="2" t="n">
        <v>943800</v>
      </c>
    </row>
    <row r="49" customFormat="false" ht="14.25" hidden="false" customHeight="false" outlineLevel="0" collapsed="false">
      <c r="C49" s="2" t="n">
        <v>33172600</v>
      </c>
      <c r="D49" s="2" t="n">
        <v>37268800</v>
      </c>
      <c r="E49" s="2"/>
      <c r="F49" s="2"/>
      <c r="G49" s="2"/>
      <c r="H49" s="2"/>
      <c r="I49" s="2"/>
      <c r="J49" s="2"/>
      <c r="K49" s="2"/>
      <c r="L49" s="2"/>
      <c r="M49" s="2" t="n">
        <v>7382700</v>
      </c>
      <c r="N49" s="2" t="n">
        <v>8325400</v>
      </c>
      <c r="O49" s="2" t="n">
        <v>37268800</v>
      </c>
      <c r="P49" s="2"/>
      <c r="Q49" s="2"/>
      <c r="R49" s="2"/>
      <c r="S49" s="2"/>
      <c r="T49" s="2"/>
      <c r="U49" s="2"/>
      <c r="V49" s="2"/>
      <c r="W49" s="2"/>
      <c r="X49" s="2" t="n">
        <v>7382700</v>
      </c>
      <c r="Y49" s="2" t="n">
        <v>8325400</v>
      </c>
      <c r="Z49" s="2" t="n">
        <v>37268800</v>
      </c>
      <c r="AA49" s="2"/>
      <c r="AB49" s="2"/>
      <c r="AC49" s="2"/>
      <c r="AD49" s="2"/>
      <c r="AE49" s="2"/>
      <c r="AF49" s="2"/>
      <c r="AG49" s="2"/>
      <c r="AH49" s="2"/>
      <c r="AI49" s="2" t="n">
        <v>7382700</v>
      </c>
      <c r="AJ49" s="2" t="n">
        <v>8325400</v>
      </c>
    </row>
    <row r="50" customFormat="false" ht="14.25" hidden="false" customHeight="false" outlineLevel="0" collapsed="false">
      <c r="C50" s="2" t="n">
        <v>2257500</v>
      </c>
      <c r="D50" s="2" t="n">
        <v>666300</v>
      </c>
      <c r="E50" s="2"/>
      <c r="F50" s="2"/>
      <c r="G50" s="2"/>
      <c r="H50" s="2"/>
      <c r="I50" s="2"/>
      <c r="J50" s="2"/>
      <c r="K50" s="2"/>
      <c r="L50" s="2"/>
      <c r="M50" s="2" t="n">
        <v>614600</v>
      </c>
      <c r="N50" s="2" t="n">
        <v>591000</v>
      </c>
      <c r="O50" s="2" t="n">
        <v>666300</v>
      </c>
      <c r="P50" s="2"/>
      <c r="Q50" s="2"/>
      <c r="R50" s="2"/>
      <c r="S50" s="2"/>
      <c r="T50" s="2"/>
      <c r="U50" s="2"/>
      <c r="V50" s="2"/>
      <c r="W50" s="2"/>
      <c r="X50" s="2" t="n">
        <v>614600</v>
      </c>
      <c r="Y50" s="2" t="n">
        <v>591000</v>
      </c>
      <c r="Z50" s="2" t="n">
        <v>666300</v>
      </c>
      <c r="AA50" s="2"/>
      <c r="AB50" s="2"/>
      <c r="AC50" s="2"/>
      <c r="AD50" s="2"/>
      <c r="AE50" s="2"/>
      <c r="AF50" s="2"/>
      <c r="AG50" s="2"/>
      <c r="AH50" s="2"/>
      <c r="AI50" s="2" t="n">
        <v>614600</v>
      </c>
      <c r="AJ50" s="2" t="n">
        <v>591000</v>
      </c>
    </row>
    <row r="51" customFormat="false" ht="14.25" hidden="false" customHeight="false" outlineLevel="0" collapsed="false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customFormat="false" ht="14.25" hidden="false" customHeight="false" outlineLevel="0" collapsed="false">
      <c r="C52" s="2" t="n">
        <v>14301486000</v>
      </c>
      <c r="D52" s="2" t="n">
        <v>14378190400</v>
      </c>
      <c r="E52" s="2"/>
      <c r="F52" s="2"/>
      <c r="G52" s="2"/>
      <c r="H52" s="2"/>
      <c r="I52" s="2"/>
      <c r="J52" s="2"/>
      <c r="K52" s="2"/>
      <c r="L52" s="2"/>
      <c r="M52" s="2" t="n">
        <v>14337338700</v>
      </c>
      <c r="N52" s="2" t="n">
        <v>14306071200</v>
      </c>
      <c r="O52" s="2" t="n">
        <v>14378190400</v>
      </c>
      <c r="P52" s="2"/>
      <c r="Q52" s="2"/>
      <c r="R52" s="2"/>
      <c r="S52" s="2"/>
      <c r="T52" s="2"/>
      <c r="U52" s="2"/>
      <c r="V52" s="2"/>
      <c r="W52" s="2"/>
      <c r="X52" s="2" t="n">
        <v>14337338700</v>
      </c>
      <c r="Y52" s="2" t="n">
        <v>14306071200</v>
      </c>
      <c r="Z52" s="2" t="n">
        <v>14378190400</v>
      </c>
      <c r="AA52" s="2"/>
      <c r="AB52" s="2"/>
      <c r="AC52" s="2"/>
      <c r="AD52" s="2"/>
      <c r="AE52" s="2"/>
      <c r="AF52" s="2"/>
      <c r="AG52" s="2"/>
      <c r="AH52" s="2"/>
      <c r="AI52" s="2" t="n">
        <v>14337338700</v>
      </c>
      <c r="AJ52" s="2" t="n">
        <v>14306071200</v>
      </c>
    </row>
    <row r="53" customFormat="false" ht="14.25" hidden="false" customHeight="false" outlineLevel="0" collapsed="false">
      <c r="C53" s="2" t="n">
        <v>12933515700</v>
      </c>
      <c r="D53" s="2" t="n">
        <v>12962547400</v>
      </c>
      <c r="E53" s="2"/>
      <c r="F53" s="2"/>
      <c r="G53" s="2"/>
      <c r="H53" s="2"/>
      <c r="I53" s="2"/>
      <c r="J53" s="2"/>
      <c r="K53" s="2"/>
      <c r="L53" s="2"/>
      <c r="M53" s="2" t="n">
        <v>12914185600</v>
      </c>
      <c r="N53" s="2" t="n">
        <v>12900347400</v>
      </c>
      <c r="O53" s="2" t="n">
        <v>12962547400</v>
      </c>
      <c r="P53" s="2"/>
      <c r="Q53" s="2"/>
      <c r="R53" s="2"/>
      <c r="S53" s="2"/>
      <c r="T53" s="2"/>
      <c r="U53" s="2"/>
      <c r="V53" s="2"/>
      <c r="W53" s="2"/>
      <c r="X53" s="2" t="n">
        <v>12914185600</v>
      </c>
      <c r="Y53" s="2" t="n">
        <v>12900347400</v>
      </c>
      <c r="Z53" s="2" t="n">
        <v>12962547400</v>
      </c>
      <c r="AA53" s="2"/>
      <c r="AB53" s="2"/>
      <c r="AC53" s="2"/>
      <c r="AD53" s="2"/>
      <c r="AE53" s="2"/>
      <c r="AF53" s="2"/>
      <c r="AG53" s="2"/>
      <c r="AH53" s="2"/>
      <c r="AI53" s="2" t="n">
        <v>12914185600</v>
      </c>
      <c r="AJ53" s="2" t="n">
        <v>12900347400</v>
      </c>
    </row>
    <row r="54" customFormat="false" ht="14.25" hidden="false" customHeight="false" outlineLevel="0" collapsed="false">
      <c r="C54" s="2" t="n">
        <v>8888055300</v>
      </c>
      <c r="D54" s="2" t="n">
        <v>8889923900</v>
      </c>
      <c r="E54" s="2"/>
      <c r="F54" s="2"/>
      <c r="G54" s="2"/>
      <c r="H54" s="2"/>
      <c r="I54" s="2"/>
      <c r="J54" s="2"/>
      <c r="K54" s="2"/>
      <c r="L54" s="2"/>
      <c r="M54" s="2" t="n">
        <v>8870472300</v>
      </c>
      <c r="N54" s="2" t="n">
        <v>8872204000</v>
      </c>
      <c r="O54" s="2" t="n">
        <v>8889923900</v>
      </c>
      <c r="P54" s="2"/>
      <c r="Q54" s="2"/>
      <c r="R54" s="2"/>
      <c r="S54" s="2"/>
      <c r="T54" s="2"/>
      <c r="U54" s="2"/>
      <c r="V54" s="2"/>
      <c r="W54" s="2"/>
      <c r="X54" s="2" t="n">
        <v>8870472300</v>
      </c>
      <c r="Y54" s="2" t="n">
        <v>8872204000</v>
      </c>
      <c r="Z54" s="2" t="n">
        <v>8889923900</v>
      </c>
      <c r="AA54" s="2"/>
      <c r="AB54" s="2"/>
      <c r="AC54" s="2"/>
      <c r="AD54" s="2"/>
      <c r="AE54" s="2"/>
      <c r="AF54" s="2"/>
      <c r="AG54" s="2"/>
      <c r="AH54" s="2"/>
      <c r="AI54" s="2" t="n">
        <v>8870472300</v>
      </c>
      <c r="AJ54" s="2" t="n">
        <v>8872204000</v>
      </c>
    </row>
    <row r="55" customFormat="false" ht="14.25" hidden="false" customHeight="false" outlineLevel="0" collapsed="false">
      <c r="C55" s="2" t="n">
        <v>8525859400</v>
      </c>
      <c r="D55" s="2" t="n">
        <v>8493149900</v>
      </c>
      <c r="E55" s="2"/>
      <c r="F55" s="2"/>
      <c r="G55" s="2"/>
      <c r="H55" s="2"/>
      <c r="I55" s="2"/>
      <c r="J55" s="2"/>
      <c r="K55" s="2"/>
      <c r="L55" s="2"/>
      <c r="M55" s="2" t="n">
        <v>8447633700</v>
      </c>
      <c r="N55" s="2" t="n">
        <v>8445180500</v>
      </c>
      <c r="O55" s="2" t="n">
        <v>8493149900</v>
      </c>
      <c r="P55" s="2"/>
      <c r="Q55" s="2"/>
      <c r="R55" s="2"/>
      <c r="S55" s="2"/>
      <c r="T55" s="2"/>
      <c r="U55" s="2"/>
      <c r="V55" s="2"/>
      <c r="W55" s="2"/>
      <c r="X55" s="2" t="n">
        <v>8447633700</v>
      </c>
      <c r="Y55" s="2" t="n">
        <v>8445180500</v>
      </c>
      <c r="Z55" s="2" t="n">
        <v>8493149900</v>
      </c>
      <c r="AA55" s="2"/>
      <c r="AB55" s="2"/>
      <c r="AC55" s="2"/>
      <c r="AD55" s="2"/>
      <c r="AE55" s="2"/>
      <c r="AF55" s="2"/>
      <c r="AG55" s="2"/>
      <c r="AH55" s="2"/>
      <c r="AI55" s="2" t="n">
        <v>8447633700</v>
      </c>
      <c r="AJ55" s="2" t="n">
        <v>8445180500</v>
      </c>
    </row>
    <row r="56" customFormat="false" ht="14.25" hidden="false" customHeight="false" outlineLevel="0" collapsed="false">
      <c r="C56" s="2" t="n">
        <v>3304466300</v>
      </c>
      <c r="D56" s="2" t="n">
        <v>3221139700</v>
      </c>
      <c r="E56" s="2"/>
      <c r="F56" s="2"/>
      <c r="G56" s="2"/>
      <c r="H56" s="2"/>
      <c r="I56" s="2"/>
      <c r="J56" s="2"/>
      <c r="K56" s="2"/>
      <c r="L56" s="2"/>
      <c r="M56" s="2" t="n">
        <v>3214448000</v>
      </c>
      <c r="N56" s="2" t="n">
        <v>3223687400</v>
      </c>
      <c r="O56" s="2" t="n">
        <v>3221139700</v>
      </c>
      <c r="P56" s="2"/>
      <c r="Q56" s="2"/>
      <c r="R56" s="2"/>
      <c r="S56" s="2"/>
      <c r="T56" s="2"/>
      <c r="U56" s="2"/>
      <c r="V56" s="2"/>
      <c r="W56" s="2"/>
      <c r="X56" s="2" t="n">
        <v>3214448000</v>
      </c>
      <c r="Y56" s="2" t="n">
        <v>3223687400</v>
      </c>
      <c r="Z56" s="2" t="n">
        <v>3221139700</v>
      </c>
      <c r="AA56" s="2"/>
      <c r="AB56" s="2"/>
      <c r="AC56" s="2"/>
      <c r="AD56" s="2"/>
      <c r="AE56" s="2"/>
      <c r="AF56" s="2"/>
      <c r="AG56" s="2"/>
      <c r="AH56" s="2"/>
      <c r="AI56" s="2" t="n">
        <v>3214448000</v>
      </c>
      <c r="AJ56" s="2" t="n">
        <v>3223687400</v>
      </c>
    </row>
    <row r="57" customFormat="false" ht="14.25" hidden="false" customHeight="false" outlineLevel="0" collapsed="false">
      <c r="C57" s="2" t="n">
        <v>2042394800</v>
      </c>
      <c r="D57" s="2" t="n">
        <v>2038720300</v>
      </c>
      <c r="E57" s="2"/>
      <c r="F57" s="2"/>
      <c r="G57" s="2"/>
      <c r="H57" s="2"/>
      <c r="I57" s="2"/>
      <c r="J57" s="2"/>
      <c r="K57" s="2"/>
      <c r="L57" s="2"/>
      <c r="M57" s="2" t="n">
        <v>2002862300</v>
      </c>
      <c r="N57" s="2" t="n">
        <v>2024537300</v>
      </c>
      <c r="O57" s="2" t="n">
        <v>2038720300</v>
      </c>
      <c r="P57" s="2"/>
      <c r="Q57" s="2"/>
      <c r="R57" s="2"/>
      <c r="S57" s="2"/>
      <c r="T57" s="2"/>
      <c r="U57" s="2"/>
      <c r="V57" s="2"/>
      <c r="W57" s="2"/>
      <c r="X57" s="2" t="n">
        <v>2002862300</v>
      </c>
      <c r="Y57" s="2" t="n">
        <v>2024537300</v>
      </c>
      <c r="Z57" s="2" t="n">
        <v>2038720300</v>
      </c>
      <c r="AA57" s="2"/>
      <c r="AB57" s="2"/>
      <c r="AC57" s="2"/>
      <c r="AD57" s="2"/>
      <c r="AE57" s="2"/>
      <c r="AF57" s="2"/>
      <c r="AG57" s="2"/>
      <c r="AH57" s="2"/>
      <c r="AI57" s="2" t="n">
        <v>2002862300</v>
      </c>
      <c r="AJ57" s="2" t="n">
        <v>2024537300</v>
      </c>
    </row>
    <row r="58" customFormat="false" ht="14.25" hidden="false" customHeight="false" outlineLevel="0" collapsed="false">
      <c r="C58" s="2" t="n">
        <v>13600800</v>
      </c>
      <c r="D58" s="2" t="n">
        <v>13825600</v>
      </c>
      <c r="E58" s="2"/>
      <c r="F58" s="2"/>
      <c r="G58" s="2"/>
      <c r="H58" s="2"/>
      <c r="I58" s="2"/>
      <c r="J58" s="2"/>
      <c r="K58" s="2"/>
      <c r="L58" s="2"/>
      <c r="M58" s="2" t="n">
        <v>13975100</v>
      </c>
      <c r="N58" s="2" t="n">
        <v>13608200</v>
      </c>
      <c r="O58" s="2" t="n">
        <v>13825600</v>
      </c>
      <c r="P58" s="2"/>
      <c r="Q58" s="2"/>
      <c r="R58" s="2"/>
      <c r="S58" s="2"/>
      <c r="T58" s="2"/>
      <c r="U58" s="2"/>
      <c r="V58" s="2"/>
      <c r="W58" s="2"/>
      <c r="X58" s="2" t="n">
        <v>13975100</v>
      </c>
      <c r="Y58" s="2" t="n">
        <v>13608200</v>
      </c>
      <c r="Z58" s="2" t="n">
        <v>13825600</v>
      </c>
      <c r="AA58" s="2"/>
      <c r="AB58" s="2"/>
      <c r="AC58" s="2"/>
      <c r="AD58" s="2"/>
      <c r="AE58" s="2"/>
      <c r="AF58" s="2"/>
      <c r="AG58" s="2"/>
      <c r="AH58" s="2"/>
      <c r="AI58" s="2" t="n">
        <v>13975100</v>
      </c>
      <c r="AJ58" s="2" t="n">
        <v>13608200</v>
      </c>
    </row>
    <row r="59" customFormat="false" ht="14.25" hidden="false" customHeight="false" outlineLevel="0" collapsed="false">
      <c r="C59" s="2" t="n">
        <v>784349700</v>
      </c>
      <c r="D59" s="2" t="n">
        <v>807436400</v>
      </c>
      <c r="E59" s="2"/>
      <c r="F59" s="2"/>
      <c r="G59" s="2"/>
      <c r="H59" s="2"/>
      <c r="I59" s="2"/>
      <c r="J59" s="2"/>
      <c r="K59" s="2"/>
      <c r="L59" s="2"/>
      <c r="M59" s="2" t="n">
        <v>786878600</v>
      </c>
      <c r="N59" s="2" t="n">
        <v>788506400</v>
      </c>
      <c r="O59" s="2" t="n">
        <v>807436400</v>
      </c>
      <c r="P59" s="2"/>
      <c r="Q59" s="2"/>
      <c r="R59" s="2"/>
      <c r="S59" s="2"/>
      <c r="T59" s="2"/>
      <c r="U59" s="2"/>
      <c r="V59" s="2"/>
      <c r="W59" s="2"/>
      <c r="X59" s="2" t="n">
        <v>786878600</v>
      </c>
      <c r="Y59" s="2" t="n">
        <v>788506400</v>
      </c>
      <c r="Z59" s="2" t="n">
        <v>807436400</v>
      </c>
      <c r="AA59" s="2"/>
      <c r="AB59" s="2"/>
      <c r="AC59" s="2"/>
      <c r="AD59" s="2"/>
      <c r="AE59" s="2"/>
      <c r="AF59" s="2"/>
      <c r="AG59" s="2"/>
      <c r="AH59" s="2"/>
      <c r="AI59" s="2" t="n">
        <v>786878600</v>
      </c>
      <c r="AJ59" s="2" t="n">
        <v>788506400</v>
      </c>
    </row>
    <row r="60" customFormat="false" ht="14.25" hidden="false" customHeight="false" outlineLevel="0" collapsed="false">
      <c r="C60" s="2" t="n">
        <v>7179500</v>
      </c>
      <c r="D60" s="2" t="n">
        <v>7528600</v>
      </c>
      <c r="E60" s="2"/>
      <c r="F60" s="2"/>
      <c r="G60" s="2"/>
      <c r="H60" s="2"/>
      <c r="I60" s="2"/>
      <c r="J60" s="2"/>
      <c r="K60" s="2"/>
      <c r="L60" s="2"/>
      <c r="M60" s="2" t="n">
        <v>7292900</v>
      </c>
      <c r="N60" s="2" t="n">
        <v>7454100</v>
      </c>
      <c r="O60" s="2" t="n">
        <v>7528600</v>
      </c>
      <c r="P60" s="2"/>
      <c r="Q60" s="2"/>
      <c r="R60" s="2"/>
      <c r="S60" s="2"/>
      <c r="T60" s="2"/>
      <c r="U60" s="2"/>
      <c r="V60" s="2"/>
      <c r="W60" s="2"/>
      <c r="X60" s="2" t="n">
        <v>7292900</v>
      </c>
      <c r="Y60" s="2" t="n">
        <v>7454100</v>
      </c>
      <c r="Z60" s="2" t="n">
        <v>7528600</v>
      </c>
      <c r="AA60" s="2"/>
      <c r="AB60" s="2"/>
      <c r="AC60" s="2"/>
      <c r="AD60" s="2"/>
      <c r="AE60" s="2"/>
      <c r="AF60" s="2"/>
      <c r="AG60" s="2"/>
      <c r="AH60" s="2"/>
      <c r="AI60" s="2" t="n">
        <v>7292900</v>
      </c>
      <c r="AJ60" s="2" t="n">
        <v>7454100</v>
      </c>
    </row>
  </sheetData>
  <mergeCells count="12">
    <mergeCell ref="D3:E3"/>
    <mergeCell ref="F3:G3"/>
    <mergeCell ref="H3:AJ3"/>
    <mergeCell ref="D4:N4"/>
    <mergeCell ref="O4:Y4"/>
    <mergeCell ref="Z4:AJ4"/>
    <mergeCell ref="D15:E15"/>
    <mergeCell ref="F15:G15"/>
    <mergeCell ref="H15:AM15"/>
    <mergeCell ref="D16:O16"/>
    <mergeCell ref="P16:AA16"/>
    <mergeCell ref="AB16:AM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AM67"/>
  <sheetViews>
    <sheetView showFormulas="false" showGridLines="true" showRowColHeaders="true" showZeros="true" rightToLeft="false" tabSelected="false" showOutlineSymbols="true" defaultGridColor="true" view="normal" topLeftCell="E1" colorId="64" zoomScale="50" zoomScaleNormal="50" zoomScalePageLayoutView="100" workbookViewId="0">
      <selection pane="topLeft" activeCell="AB24" activeCellId="0" sqref="AB2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.11"/>
    <col collapsed="false" customWidth="true" hidden="false" outlineLevel="0" max="2" min="2" style="1" width="34.34"/>
    <col collapsed="false" customWidth="true" hidden="false" outlineLevel="0" max="3" min="3" style="1" width="10.67"/>
    <col collapsed="false" customWidth="true" hidden="false" outlineLevel="0" max="39" min="4" style="1" width="9.89"/>
  </cols>
  <sheetData>
    <row r="3" customFormat="false" ht="27" hidden="false" customHeight="true" outlineLevel="0" collapsed="false">
      <c r="D3" s="67" t="s">
        <v>14</v>
      </c>
      <c r="E3" s="67"/>
      <c r="F3" s="68" t="n">
        <v>10000</v>
      </c>
      <c r="G3" s="68"/>
      <c r="H3" s="69" t="s">
        <v>35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</row>
    <row r="4" customFormat="false" ht="24.75" hidden="false" customHeight="true" outlineLevel="0" collapsed="false">
      <c r="D4" s="70" t="s">
        <v>4</v>
      </c>
      <c r="E4" s="70"/>
      <c r="F4" s="70"/>
      <c r="G4" s="70"/>
      <c r="H4" s="70"/>
      <c r="I4" s="70"/>
      <c r="J4" s="70"/>
      <c r="K4" s="70"/>
      <c r="L4" s="70"/>
      <c r="M4" s="70"/>
      <c r="N4" s="70"/>
      <c r="O4" s="70" t="s">
        <v>5</v>
      </c>
      <c r="P4" s="70"/>
      <c r="Q4" s="70"/>
      <c r="R4" s="70"/>
      <c r="S4" s="70"/>
      <c r="T4" s="70"/>
      <c r="U4" s="70"/>
      <c r="V4" s="70"/>
      <c r="W4" s="70"/>
      <c r="X4" s="70"/>
      <c r="Y4" s="70"/>
      <c r="Z4" s="70" t="s">
        <v>16</v>
      </c>
      <c r="AA4" s="70"/>
      <c r="AB4" s="70"/>
      <c r="AC4" s="70"/>
      <c r="AD4" s="70"/>
      <c r="AE4" s="70"/>
      <c r="AF4" s="70"/>
      <c r="AG4" s="70"/>
      <c r="AH4" s="70"/>
      <c r="AI4" s="70"/>
      <c r="AJ4" s="70"/>
    </row>
    <row r="5" customFormat="false" ht="35.25" hidden="false" customHeight="true" outlineLevel="0" collapsed="false">
      <c r="B5" s="71" t="s">
        <v>17</v>
      </c>
      <c r="C5" s="72" t="s">
        <v>18</v>
      </c>
      <c r="D5" s="73" t="n">
        <v>1</v>
      </c>
      <c r="E5" s="74" t="n">
        <v>2</v>
      </c>
      <c r="F5" s="74" t="n">
        <v>3</v>
      </c>
      <c r="G5" s="74" t="n">
        <v>4</v>
      </c>
      <c r="H5" s="74" t="n">
        <v>5</v>
      </c>
      <c r="I5" s="74" t="n">
        <v>6</v>
      </c>
      <c r="J5" s="74" t="n">
        <v>7</v>
      </c>
      <c r="K5" s="74" t="n">
        <v>8</v>
      </c>
      <c r="L5" s="74" t="n">
        <v>9</v>
      </c>
      <c r="M5" s="75" t="n">
        <v>10</v>
      </c>
      <c r="N5" s="76" t="s">
        <v>19</v>
      </c>
      <c r="O5" s="73" t="n">
        <v>1</v>
      </c>
      <c r="P5" s="74" t="n">
        <v>2</v>
      </c>
      <c r="Q5" s="74" t="n">
        <v>3</v>
      </c>
      <c r="R5" s="74" t="n">
        <v>4</v>
      </c>
      <c r="S5" s="74" t="n">
        <v>5</v>
      </c>
      <c r="T5" s="74" t="n">
        <v>6</v>
      </c>
      <c r="U5" s="74" t="n">
        <v>7</v>
      </c>
      <c r="V5" s="74" t="n">
        <v>8</v>
      </c>
      <c r="W5" s="74" t="n">
        <v>9</v>
      </c>
      <c r="X5" s="75" t="n">
        <v>10</v>
      </c>
      <c r="Y5" s="76" t="s">
        <v>19</v>
      </c>
      <c r="Z5" s="73" t="n">
        <v>1</v>
      </c>
      <c r="AA5" s="74" t="n">
        <v>2</v>
      </c>
      <c r="AB5" s="74" t="n">
        <v>3</v>
      </c>
      <c r="AC5" s="74" t="n">
        <v>4</v>
      </c>
      <c r="AD5" s="74" t="n">
        <v>5</v>
      </c>
      <c r="AE5" s="74" t="n">
        <v>6</v>
      </c>
      <c r="AF5" s="74" t="n">
        <v>7</v>
      </c>
      <c r="AG5" s="74" t="n">
        <v>8</v>
      </c>
      <c r="AH5" s="74" t="n">
        <v>9</v>
      </c>
      <c r="AI5" s="75" t="n">
        <v>10</v>
      </c>
      <c r="AJ5" s="76" t="s">
        <v>19</v>
      </c>
    </row>
    <row r="6" customFormat="false" ht="19.7" hidden="false" customHeight="false" outlineLevel="0" collapsed="false">
      <c r="B6" s="77" t="s">
        <v>20</v>
      </c>
      <c r="C6" s="78" t="s">
        <v>21</v>
      </c>
      <c r="D6" s="0" t="n">
        <v>456</v>
      </c>
      <c r="E6" s="0" t="n">
        <v>598</v>
      </c>
      <c r="F6" s="0" t="n">
        <v>570</v>
      </c>
      <c r="G6" s="0" t="n">
        <v>314</v>
      </c>
      <c r="H6" s="0" t="n">
        <v>217</v>
      </c>
      <c r="I6" s="0" t="n">
        <v>264</v>
      </c>
      <c r="J6" s="0" t="n">
        <v>190</v>
      </c>
      <c r="K6" s="0" t="n">
        <v>151</v>
      </c>
      <c r="L6" s="0" t="n">
        <v>217</v>
      </c>
      <c r="M6" s="0" t="n">
        <v>151</v>
      </c>
      <c r="N6" s="48" t="n">
        <f aca="false">AVERAGE(D6:M6)</f>
        <v>312.8</v>
      </c>
      <c r="O6" s="0" t="n">
        <v>49995000</v>
      </c>
      <c r="P6" s="0" t="n">
        <v>49995000</v>
      </c>
      <c r="Q6" s="0" t="n">
        <v>49995000</v>
      </c>
      <c r="R6" s="0" t="n">
        <v>49995000</v>
      </c>
      <c r="S6" s="0" t="n">
        <v>49995000</v>
      </c>
      <c r="T6" s="0" t="n">
        <v>49995000</v>
      </c>
      <c r="U6" s="0" t="n">
        <v>49995000</v>
      </c>
      <c r="V6" s="0" t="n">
        <v>49995000</v>
      </c>
      <c r="W6" s="0" t="n">
        <v>49995000</v>
      </c>
      <c r="X6" s="0" t="n">
        <v>49995000</v>
      </c>
      <c r="Y6" s="48" t="n">
        <f aca="false">AVERAGE(O6:X6)</f>
        <v>49995000</v>
      </c>
      <c r="Z6" s="0" t="n">
        <v>31977244</v>
      </c>
      <c r="AA6" s="0" t="n">
        <v>28960514</v>
      </c>
      <c r="AB6" s="0" t="n">
        <v>37345447</v>
      </c>
      <c r="AC6" s="0" t="n">
        <v>13682361</v>
      </c>
      <c r="AD6" s="0" t="n">
        <v>9136034</v>
      </c>
      <c r="AE6" s="0" t="n">
        <v>40267790</v>
      </c>
      <c r="AF6" s="0" t="n">
        <v>19565118</v>
      </c>
      <c r="AG6" s="0" t="n">
        <v>9791755</v>
      </c>
      <c r="AH6" s="0" t="n">
        <v>37986659</v>
      </c>
      <c r="AI6" s="0" t="n">
        <v>9342618</v>
      </c>
      <c r="AJ6" s="48" t="n">
        <f aca="false">AVERAGE(Z6:AI6)</f>
        <v>23805554</v>
      </c>
    </row>
    <row r="7" customFormat="false" ht="19.7" hidden="false" customHeight="false" outlineLevel="0" collapsed="false">
      <c r="B7" s="81" t="s">
        <v>22</v>
      </c>
      <c r="C7" s="82" t="s">
        <v>23</v>
      </c>
      <c r="D7" s="0" t="n">
        <v>857</v>
      </c>
      <c r="E7" s="0" t="n">
        <v>898</v>
      </c>
      <c r="F7" s="0" t="n">
        <v>877</v>
      </c>
      <c r="G7" s="0" t="n">
        <v>524</v>
      </c>
      <c r="H7" s="0" t="n">
        <v>385</v>
      </c>
      <c r="I7" s="0" t="n">
        <v>396</v>
      </c>
      <c r="J7" s="0" t="n">
        <v>309</v>
      </c>
      <c r="K7" s="0" t="n">
        <v>290</v>
      </c>
      <c r="L7" s="0" t="n">
        <v>337</v>
      </c>
      <c r="M7" s="0" t="n">
        <v>270</v>
      </c>
      <c r="N7" s="48" t="n">
        <f aca="false">AVERAGE(D7:M7)</f>
        <v>514.3</v>
      </c>
      <c r="O7" s="0" t="n">
        <v>49995000</v>
      </c>
      <c r="P7" s="0" t="n">
        <v>49995000</v>
      </c>
      <c r="Q7" s="0" t="n">
        <v>49995000</v>
      </c>
      <c r="R7" s="0" t="n">
        <v>49995000</v>
      </c>
      <c r="S7" s="0" t="n">
        <v>49995000</v>
      </c>
      <c r="T7" s="0" t="n">
        <v>49995000</v>
      </c>
      <c r="U7" s="0" t="n">
        <v>49995000</v>
      </c>
      <c r="V7" s="0" t="n">
        <v>49995000</v>
      </c>
      <c r="W7" s="0" t="n">
        <v>49995000</v>
      </c>
      <c r="X7" s="0" t="n">
        <v>49995000</v>
      </c>
      <c r="Y7" s="48" t="n">
        <f aca="false">AVERAGE(O7:X7)</f>
        <v>49995000</v>
      </c>
      <c r="Z7" s="0" t="n">
        <v>10000</v>
      </c>
      <c r="AA7" s="0" t="n">
        <v>10000</v>
      </c>
      <c r="AB7" s="0" t="n">
        <v>10000</v>
      </c>
      <c r="AC7" s="0" t="n">
        <v>10000</v>
      </c>
      <c r="AD7" s="0" t="n">
        <v>10000</v>
      </c>
      <c r="AE7" s="0" t="n">
        <v>10000</v>
      </c>
      <c r="AF7" s="0" t="n">
        <v>10000</v>
      </c>
      <c r="AG7" s="0" t="n">
        <v>10000</v>
      </c>
      <c r="AH7" s="0" t="n">
        <v>10000</v>
      </c>
      <c r="AI7" s="0" t="n">
        <v>10000</v>
      </c>
      <c r="AJ7" s="48" t="n">
        <f aca="false">AVERAGE(Z7:AI7)</f>
        <v>10000</v>
      </c>
    </row>
    <row r="8" customFormat="false" ht="19.7" hidden="false" customHeight="false" outlineLevel="0" collapsed="false">
      <c r="B8" s="81" t="s">
        <v>24</v>
      </c>
      <c r="C8" s="82" t="s">
        <v>25</v>
      </c>
      <c r="D8" s="0" t="n">
        <v>1170</v>
      </c>
      <c r="E8" s="0" t="n">
        <v>1111</v>
      </c>
      <c r="F8" s="0" t="n">
        <v>1152</v>
      </c>
      <c r="G8" s="0" t="n">
        <v>596</v>
      </c>
      <c r="H8" s="0" t="n">
        <v>426</v>
      </c>
      <c r="I8" s="0" t="n">
        <v>532</v>
      </c>
      <c r="J8" s="0" t="n">
        <v>373</v>
      </c>
      <c r="K8" s="0" t="n">
        <v>322</v>
      </c>
      <c r="L8" s="0" t="n">
        <v>465</v>
      </c>
      <c r="M8" s="0" t="n">
        <v>301</v>
      </c>
      <c r="N8" s="48" t="n">
        <f aca="false">AVERAGE(D8:M8)</f>
        <v>644.8</v>
      </c>
      <c r="O8" s="0" t="n">
        <v>31977244</v>
      </c>
      <c r="P8" s="0" t="n">
        <v>28960514</v>
      </c>
      <c r="Q8" s="0" t="n">
        <v>37345447</v>
      </c>
      <c r="R8" s="0" t="n">
        <v>13682361</v>
      </c>
      <c r="S8" s="0" t="n">
        <v>9136034</v>
      </c>
      <c r="T8" s="0" t="n">
        <v>40267790</v>
      </c>
      <c r="U8" s="0" t="n">
        <v>19565118</v>
      </c>
      <c r="V8" s="0" t="n">
        <v>9791755</v>
      </c>
      <c r="W8" s="0" t="n">
        <v>37986659</v>
      </c>
      <c r="X8" s="0" t="n">
        <v>9342618</v>
      </c>
      <c r="Y8" s="48" t="n">
        <f aca="false">AVERAGE(O8:X8)</f>
        <v>23805554</v>
      </c>
      <c r="Z8" s="0" t="n">
        <v>31987243</v>
      </c>
      <c r="AA8" s="0" t="n">
        <v>28970513</v>
      </c>
      <c r="AB8" s="0" t="n">
        <v>37355446</v>
      </c>
      <c r="AC8" s="0" t="n">
        <v>13692360</v>
      </c>
      <c r="AD8" s="0" t="n">
        <v>9146033</v>
      </c>
      <c r="AE8" s="0" t="n">
        <v>40277789</v>
      </c>
      <c r="AF8" s="0" t="n">
        <v>19575117</v>
      </c>
      <c r="AG8" s="0" t="n">
        <v>9801754</v>
      </c>
      <c r="AH8" s="0" t="n">
        <v>37996658</v>
      </c>
      <c r="AI8" s="0" t="n">
        <v>9352617</v>
      </c>
      <c r="AJ8" s="48" t="n">
        <f aca="false">AVERAGE(Z8:AI8)</f>
        <v>23815553</v>
      </c>
    </row>
    <row r="9" customFormat="false" ht="19.7" hidden="false" customHeight="false" outlineLevel="0" collapsed="false">
      <c r="B9" s="81" t="s">
        <v>26</v>
      </c>
      <c r="C9" s="82" t="s">
        <v>27</v>
      </c>
      <c r="D9" s="0" t="n">
        <v>1175</v>
      </c>
      <c r="E9" s="0" t="n">
        <v>1115</v>
      </c>
      <c r="F9" s="0" t="n">
        <v>1156</v>
      </c>
      <c r="G9" s="0" t="n">
        <v>597</v>
      </c>
      <c r="H9" s="0" t="n">
        <v>427</v>
      </c>
      <c r="I9" s="0" t="n">
        <v>533</v>
      </c>
      <c r="J9" s="0" t="n">
        <v>374</v>
      </c>
      <c r="K9" s="0" t="n">
        <v>322</v>
      </c>
      <c r="L9" s="0" t="n">
        <v>467</v>
      </c>
      <c r="M9" s="0" t="n">
        <v>302</v>
      </c>
      <c r="N9" s="48" t="n">
        <f aca="false">AVERAGE(D9:M9)</f>
        <v>646.8</v>
      </c>
      <c r="O9" s="0" t="n">
        <v>9999</v>
      </c>
      <c r="P9" s="0" t="n">
        <v>9999</v>
      </c>
      <c r="Q9" s="0" t="n">
        <v>9999</v>
      </c>
      <c r="R9" s="0" t="n">
        <v>9999</v>
      </c>
      <c r="S9" s="0" t="n">
        <v>9999</v>
      </c>
      <c r="T9" s="0" t="n">
        <v>9999</v>
      </c>
      <c r="U9" s="0" t="n">
        <v>9999</v>
      </c>
      <c r="V9" s="0" t="n">
        <v>9999</v>
      </c>
      <c r="W9" s="0" t="n">
        <v>9999</v>
      </c>
      <c r="X9" s="0" t="n">
        <v>9999</v>
      </c>
      <c r="Y9" s="48" t="n">
        <f aca="false">AVERAGE(O9:X9)</f>
        <v>9999</v>
      </c>
      <c r="Z9" s="0" t="n">
        <v>32029069</v>
      </c>
      <c r="AA9" s="0" t="n">
        <v>29036608</v>
      </c>
      <c r="AB9" s="0" t="n">
        <v>37381488</v>
      </c>
      <c r="AC9" s="0" t="n">
        <v>13755316</v>
      </c>
      <c r="AD9" s="0" t="n">
        <v>9179501</v>
      </c>
      <c r="AE9" s="0" t="n">
        <v>40310557</v>
      </c>
      <c r="AF9" s="0" t="n">
        <v>19630490</v>
      </c>
      <c r="AG9" s="0" t="n">
        <v>9839607</v>
      </c>
      <c r="AH9" s="0" t="n">
        <v>38029056</v>
      </c>
      <c r="AI9" s="0" t="n">
        <v>9393381</v>
      </c>
      <c r="AJ9" s="48" t="n">
        <f aca="false">AVERAGE(Z9:AI9)</f>
        <v>23858507.3</v>
      </c>
    </row>
    <row r="10" customFormat="false" ht="19.7" hidden="false" customHeight="false" outlineLevel="0" collapsed="false">
      <c r="B10" s="81" t="s">
        <v>28</v>
      </c>
      <c r="C10" s="82" t="s">
        <v>27</v>
      </c>
      <c r="D10" s="0" t="n">
        <v>1187</v>
      </c>
      <c r="E10" s="0" t="n">
        <v>1119</v>
      </c>
      <c r="F10" s="0" t="n">
        <v>1163</v>
      </c>
      <c r="G10" s="0" t="n">
        <v>612</v>
      </c>
      <c r="H10" s="0" t="n">
        <v>430</v>
      </c>
      <c r="I10" s="0" t="n">
        <v>535</v>
      </c>
      <c r="J10" s="0" t="n">
        <v>376</v>
      </c>
      <c r="K10" s="0" t="n">
        <v>327</v>
      </c>
      <c r="L10" s="0" t="n">
        <v>468</v>
      </c>
      <c r="M10" s="0" t="n">
        <v>309</v>
      </c>
      <c r="N10" s="48" t="n">
        <f aca="false">AVERAGE(D10:M10)</f>
        <v>652.6</v>
      </c>
      <c r="O10" s="0" t="n">
        <v>647160</v>
      </c>
      <c r="P10" s="0" t="n">
        <v>283049</v>
      </c>
      <c r="Q10" s="0" t="n">
        <v>579462</v>
      </c>
      <c r="R10" s="0" t="n">
        <v>1625035</v>
      </c>
      <c r="S10" s="0" t="n">
        <v>477634</v>
      </c>
      <c r="T10" s="0" t="n">
        <v>276275</v>
      </c>
      <c r="U10" s="0" t="n">
        <v>287936</v>
      </c>
      <c r="V10" s="0" t="n">
        <v>799708</v>
      </c>
      <c r="W10" s="0" t="n">
        <v>259614</v>
      </c>
      <c r="X10" s="0" t="n">
        <v>1265245</v>
      </c>
      <c r="Y10" s="48" t="n">
        <f aca="false">AVERAGE(O10:X10)</f>
        <v>650111.8</v>
      </c>
      <c r="Z10" s="0" t="n">
        <v>621122</v>
      </c>
      <c r="AA10" s="0" t="n">
        <v>227885</v>
      </c>
      <c r="AB10" s="0" t="n">
        <v>524877</v>
      </c>
      <c r="AC10" s="0" t="n">
        <v>1613016</v>
      </c>
      <c r="AD10" s="0" t="n">
        <v>432402</v>
      </c>
      <c r="AE10" s="0" t="n">
        <v>186775</v>
      </c>
      <c r="AF10" s="0" t="n">
        <v>242180</v>
      </c>
      <c r="AG10" s="0" t="n">
        <v>784920</v>
      </c>
      <c r="AH10" s="0" t="n">
        <v>196254</v>
      </c>
      <c r="AI10" s="0" t="n">
        <v>1251523</v>
      </c>
      <c r="AJ10" s="48" t="n">
        <f aca="false">AVERAGE(Z10:AI10)</f>
        <v>608095.4</v>
      </c>
    </row>
    <row r="11" customFormat="false" ht="19.7" hidden="false" customHeight="false" outlineLevel="0" collapsed="false">
      <c r="B11" s="83" t="s">
        <v>29</v>
      </c>
      <c r="C11" s="84" t="s">
        <v>30</v>
      </c>
      <c r="D11" s="0" t="n">
        <v>1211</v>
      </c>
      <c r="E11" s="0" t="n">
        <v>1132</v>
      </c>
      <c r="F11" s="0" t="n">
        <v>1169</v>
      </c>
      <c r="G11" s="0" t="n">
        <v>616</v>
      </c>
      <c r="H11" s="0" t="n">
        <v>433</v>
      </c>
      <c r="I11" s="0" t="n">
        <v>537</v>
      </c>
      <c r="J11" s="0" t="n">
        <v>378</v>
      </c>
      <c r="K11" s="0" t="n">
        <v>329</v>
      </c>
      <c r="L11" s="0" t="n">
        <v>471</v>
      </c>
      <c r="M11" s="0" t="n">
        <v>311</v>
      </c>
      <c r="N11" s="48" t="n">
        <f aca="false">AVERAGE(D11:M11)</f>
        <v>658.7</v>
      </c>
      <c r="O11" s="0" t="n">
        <v>99423</v>
      </c>
      <c r="P11" s="0" t="n">
        <v>103957</v>
      </c>
      <c r="Q11" s="0" t="n">
        <v>96907</v>
      </c>
      <c r="R11" s="0" t="n">
        <v>100273</v>
      </c>
      <c r="S11" s="0" t="n">
        <v>100261</v>
      </c>
      <c r="T11" s="0" t="n">
        <v>99566</v>
      </c>
      <c r="U11" s="0" t="n">
        <v>102214</v>
      </c>
      <c r="V11" s="0" t="n">
        <v>100483</v>
      </c>
      <c r="W11" s="0" t="n">
        <v>98248</v>
      </c>
      <c r="X11" s="0" t="n">
        <v>99493</v>
      </c>
      <c r="Y11" s="48" t="n">
        <f aca="false">AVERAGE(O11:X11)</f>
        <v>100082.5</v>
      </c>
      <c r="Z11" s="0" t="n">
        <v>133616</v>
      </c>
      <c r="AA11" s="0" t="n">
        <v>133616</v>
      </c>
      <c r="AB11" s="0" t="n">
        <v>133616</v>
      </c>
      <c r="AC11" s="0" t="n">
        <v>133616</v>
      </c>
      <c r="AD11" s="0" t="n">
        <v>133616</v>
      </c>
      <c r="AE11" s="0" t="n">
        <v>133616</v>
      </c>
      <c r="AF11" s="0" t="n">
        <v>133616</v>
      </c>
      <c r="AG11" s="0" t="n">
        <v>133616</v>
      </c>
      <c r="AH11" s="0" t="n">
        <v>133616</v>
      </c>
      <c r="AI11" s="0" t="n">
        <v>133616</v>
      </c>
      <c r="AJ11" s="48" t="n">
        <f aca="false">AVERAGE(Z11:AI11)</f>
        <v>133616</v>
      </c>
    </row>
    <row r="12" customFormat="false" ht="19.7" hidden="false" customHeight="false" outlineLevel="0" collapsed="false">
      <c r="B12" s="85" t="s">
        <v>31</v>
      </c>
      <c r="C12" s="86" t="s">
        <v>32</v>
      </c>
      <c r="D12" s="0" t="n">
        <v>1214</v>
      </c>
      <c r="E12" s="0" t="n">
        <v>1133</v>
      </c>
      <c r="F12" s="0" t="n">
        <v>1170</v>
      </c>
      <c r="G12" s="0" t="n">
        <v>617</v>
      </c>
      <c r="H12" s="0" t="n">
        <v>435</v>
      </c>
      <c r="I12" s="0" t="n">
        <v>537</v>
      </c>
      <c r="J12" s="0" t="n">
        <v>379</v>
      </c>
      <c r="K12" s="0" t="n">
        <v>330</v>
      </c>
      <c r="L12" s="0" t="n">
        <v>471</v>
      </c>
      <c r="M12" s="0" t="n">
        <v>312</v>
      </c>
      <c r="N12" s="48" t="n">
        <f aca="false">AVERAGE(D12:M12)</f>
        <v>659.8</v>
      </c>
      <c r="O12" s="0" t="n">
        <v>129423</v>
      </c>
      <c r="P12" s="0" t="n">
        <v>133957</v>
      </c>
      <c r="Q12" s="0" t="n">
        <v>116907</v>
      </c>
      <c r="R12" s="0" t="n">
        <v>130273</v>
      </c>
      <c r="S12" s="0" t="n">
        <v>130261</v>
      </c>
      <c r="T12" s="0" t="n">
        <v>129566</v>
      </c>
      <c r="U12" s="0" t="n">
        <v>132214</v>
      </c>
      <c r="V12" s="0" t="n">
        <v>130483</v>
      </c>
      <c r="W12" s="0" t="n">
        <v>118248</v>
      </c>
      <c r="X12" s="0" t="n">
        <v>129493</v>
      </c>
      <c r="Y12" s="48" t="n">
        <f aca="false">AVERAGE(O12:X12)</f>
        <v>128082.5</v>
      </c>
      <c r="Z12" s="0" t="n">
        <v>163673</v>
      </c>
      <c r="AA12" s="0" t="n">
        <v>163673</v>
      </c>
      <c r="AB12" s="0" t="n">
        <v>153654</v>
      </c>
      <c r="AC12" s="0" t="n">
        <v>163673</v>
      </c>
      <c r="AD12" s="0" t="n">
        <v>163673</v>
      </c>
      <c r="AE12" s="0" t="n">
        <v>163673</v>
      </c>
      <c r="AF12" s="0" t="n">
        <v>163673</v>
      </c>
      <c r="AG12" s="0" t="n">
        <v>163673</v>
      </c>
      <c r="AH12" s="0" t="n">
        <v>153654</v>
      </c>
      <c r="AI12" s="0" t="n">
        <v>163673</v>
      </c>
      <c r="AJ12" s="48" t="n">
        <f aca="false">AVERAGE(Z12:AI12)</f>
        <v>161669.2</v>
      </c>
    </row>
    <row r="13" customFormat="false" ht="14.25" hidden="false" customHeight="false" outlineLevel="0" collapsed="false">
      <c r="D13" s="0"/>
    </row>
    <row r="14" customFormat="false" ht="14.25" hidden="false" customHeight="false" outlineLevel="0" collapsed="false">
      <c r="D14" s="0"/>
    </row>
    <row r="15" customFormat="false" ht="24.45" hidden="false" customHeight="false" outlineLevel="0" collapsed="false">
      <c r="D15" s="67" t="s">
        <v>14</v>
      </c>
      <c r="E15" s="67"/>
      <c r="F15" s="68" t="n">
        <v>20000</v>
      </c>
      <c r="G15" s="68"/>
      <c r="H15" s="69" t="s">
        <v>35</v>
      </c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</row>
    <row r="16" customFormat="false" ht="22.05" hidden="false" customHeight="false" outlineLevel="0" collapsed="false">
      <c r="D16" s="70" t="s">
        <v>4</v>
      </c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 t="s">
        <v>5</v>
      </c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 t="s">
        <v>16</v>
      </c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</row>
    <row r="17" customFormat="false" ht="32.8" hidden="false" customHeight="false" outlineLevel="0" collapsed="false">
      <c r="B17" s="71" t="s">
        <v>17</v>
      </c>
      <c r="C17" s="72" t="s">
        <v>18</v>
      </c>
      <c r="D17" s="88" t="s">
        <v>33</v>
      </c>
      <c r="E17" s="89" t="n">
        <v>1</v>
      </c>
      <c r="F17" s="89" t="n">
        <v>2</v>
      </c>
      <c r="G17" s="89" t="n">
        <v>3</v>
      </c>
      <c r="H17" s="89" t="n">
        <v>4</v>
      </c>
      <c r="I17" s="89" t="n">
        <v>5</v>
      </c>
      <c r="J17" s="89" t="n">
        <v>6</v>
      </c>
      <c r="K17" s="89" t="n">
        <v>7</v>
      </c>
      <c r="L17" s="89" t="n">
        <v>8</v>
      </c>
      <c r="M17" s="89" t="n">
        <v>9</v>
      </c>
      <c r="N17" s="89" t="n">
        <v>10</v>
      </c>
      <c r="O17" s="90" t="s">
        <v>19</v>
      </c>
      <c r="P17" s="88" t="s">
        <v>33</v>
      </c>
      <c r="Q17" s="89" t="n">
        <v>1</v>
      </c>
      <c r="R17" s="89" t="n">
        <v>2</v>
      </c>
      <c r="S17" s="89" t="n">
        <v>3</v>
      </c>
      <c r="T17" s="89" t="n">
        <v>4</v>
      </c>
      <c r="U17" s="89" t="n">
        <v>5</v>
      </c>
      <c r="V17" s="89" t="n">
        <v>6</v>
      </c>
      <c r="W17" s="89" t="n">
        <v>7</v>
      </c>
      <c r="X17" s="89" t="n">
        <v>8</v>
      </c>
      <c r="Y17" s="89" t="n">
        <v>9</v>
      </c>
      <c r="Z17" s="89" t="n">
        <v>10</v>
      </c>
      <c r="AA17" s="90" t="s">
        <v>19</v>
      </c>
      <c r="AB17" s="88" t="s">
        <v>33</v>
      </c>
      <c r="AC17" s="89" t="n">
        <v>1</v>
      </c>
      <c r="AD17" s="89" t="n">
        <v>2</v>
      </c>
      <c r="AE17" s="89" t="n">
        <v>3</v>
      </c>
      <c r="AF17" s="89" t="n">
        <v>4</v>
      </c>
      <c r="AG17" s="89" t="n">
        <v>5</v>
      </c>
      <c r="AH17" s="89" t="n">
        <v>6</v>
      </c>
      <c r="AI17" s="89" t="n">
        <v>7</v>
      </c>
      <c r="AJ17" s="89" t="n">
        <v>8</v>
      </c>
      <c r="AK17" s="89" t="n">
        <v>9</v>
      </c>
      <c r="AL17" s="89" t="n">
        <v>10</v>
      </c>
      <c r="AM17" s="90" t="s">
        <v>19</v>
      </c>
    </row>
    <row r="18" customFormat="false" ht="31.3" hidden="false" customHeight="false" outlineLevel="0" collapsed="false">
      <c r="B18" s="77" t="s">
        <v>20</v>
      </c>
      <c r="C18" s="78" t="s">
        <v>21</v>
      </c>
      <c r="D18" s="91" t="n">
        <v>1500</v>
      </c>
      <c r="E18" s="0" t="n">
        <v>1581</v>
      </c>
      <c r="F18" s="0" t="n">
        <v>1729</v>
      </c>
      <c r="G18" s="0" t="n">
        <v>848</v>
      </c>
      <c r="H18" s="0" t="n">
        <v>1183</v>
      </c>
      <c r="I18" s="0" t="n">
        <v>865</v>
      </c>
      <c r="J18" s="0" t="n">
        <v>557</v>
      </c>
      <c r="K18" s="0" t="n">
        <v>935</v>
      </c>
      <c r="L18" s="0" t="n">
        <v>807</v>
      </c>
      <c r="M18" s="0" t="n">
        <v>755</v>
      </c>
      <c r="N18" s="0" t="n">
        <v>703</v>
      </c>
      <c r="O18" s="92" t="n">
        <f aca="false">AVERAGE(E18:N18)</f>
        <v>996.3</v>
      </c>
      <c r="P18" s="93" t="n">
        <v>200000000</v>
      </c>
      <c r="Q18" s="0" t="n">
        <v>199990000</v>
      </c>
      <c r="R18" s="0" t="n">
        <v>199990000</v>
      </c>
      <c r="S18" s="0" t="n">
        <v>199990000</v>
      </c>
      <c r="T18" s="0" t="n">
        <v>199990000</v>
      </c>
      <c r="U18" s="0" t="n">
        <v>199990000</v>
      </c>
      <c r="V18" s="0" t="n">
        <v>199990000</v>
      </c>
      <c r="W18" s="0" t="n">
        <v>199990000</v>
      </c>
      <c r="X18" s="0" t="n">
        <v>199990000</v>
      </c>
      <c r="Y18" s="0" t="n">
        <v>199990000</v>
      </c>
      <c r="Z18" s="0" t="n">
        <v>199990000</v>
      </c>
      <c r="AA18" s="92" t="n">
        <f aca="false">AVERAGE(Q18:Z18)</f>
        <v>199990000</v>
      </c>
      <c r="AB18" s="93" t="n">
        <v>100000000</v>
      </c>
      <c r="AC18" s="0" t="n">
        <v>72088688</v>
      </c>
      <c r="AD18" s="0" t="n">
        <v>126872735</v>
      </c>
      <c r="AE18" s="0" t="n">
        <v>139034703</v>
      </c>
      <c r="AF18" s="0" t="n">
        <v>82875715</v>
      </c>
      <c r="AG18" s="0" t="n">
        <v>143627422</v>
      </c>
      <c r="AH18" s="0" t="n">
        <v>122816802</v>
      </c>
      <c r="AI18" s="0" t="n">
        <v>21861591</v>
      </c>
      <c r="AJ18" s="0" t="n">
        <v>176757303</v>
      </c>
      <c r="AK18" s="0" t="n">
        <v>128722298</v>
      </c>
      <c r="AL18" s="0" t="n">
        <v>104850540</v>
      </c>
      <c r="AM18" s="92" t="n">
        <f aca="false">AVERAGE(AC18:AL18)</f>
        <v>111950779.7</v>
      </c>
    </row>
    <row r="19" customFormat="false" ht="19.7" hidden="false" customHeight="false" outlineLevel="0" collapsed="false">
      <c r="B19" s="81" t="s">
        <v>22</v>
      </c>
      <c r="C19" s="82" t="s">
        <v>23</v>
      </c>
      <c r="D19" s="91" t="n">
        <v>2000</v>
      </c>
      <c r="E19" s="0" t="n">
        <v>2772</v>
      </c>
      <c r="F19" s="0" t="n">
        <v>2323</v>
      </c>
      <c r="G19" s="0" t="n">
        <v>1324</v>
      </c>
      <c r="H19" s="0" t="n">
        <v>1456</v>
      </c>
      <c r="I19" s="0" t="n">
        <v>1344</v>
      </c>
      <c r="J19" s="0" t="n">
        <v>1031</v>
      </c>
      <c r="K19" s="0" t="n">
        <v>1412</v>
      </c>
      <c r="L19" s="0" t="n">
        <v>1280</v>
      </c>
      <c r="M19" s="0" t="n">
        <v>1225</v>
      </c>
      <c r="N19" s="0" t="n">
        <v>1183</v>
      </c>
      <c r="O19" s="92" t="n">
        <f aca="false">AVERAGE(E19:N19)</f>
        <v>1535</v>
      </c>
      <c r="P19" s="93" t="n">
        <v>199990000</v>
      </c>
      <c r="Q19" s="0" t="n">
        <v>199990000</v>
      </c>
      <c r="R19" s="0" t="n">
        <v>199990000</v>
      </c>
      <c r="S19" s="0" t="n">
        <v>199990000</v>
      </c>
      <c r="T19" s="0" t="n">
        <v>199990000</v>
      </c>
      <c r="U19" s="0" t="n">
        <v>199990000</v>
      </c>
      <c r="V19" s="0" t="n">
        <v>199990000</v>
      </c>
      <c r="W19" s="0" t="n">
        <v>199990000</v>
      </c>
      <c r="X19" s="0" t="n">
        <v>199990000</v>
      </c>
      <c r="Y19" s="0" t="n">
        <v>199990000</v>
      </c>
      <c r="Z19" s="0" t="n">
        <v>199990000</v>
      </c>
      <c r="AA19" s="92" t="n">
        <f aca="false">AVERAGE(Q19:Z19)</f>
        <v>199990000</v>
      </c>
      <c r="AB19" s="34" t="n">
        <v>20000</v>
      </c>
      <c r="AC19" s="0" t="n">
        <v>20000</v>
      </c>
      <c r="AD19" s="0" t="n">
        <v>20000</v>
      </c>
      <c r="AE19" s="0" t="n">
        <v>20000</v>
      </c>
      <c r="AF19" s="0" t="n">
        <v>20000</v>
      </c>
      <c r="AG19" s="0" t="n">
        <v>20000</v>
      </c>
      <c r="AH19" s="0" t="n">
        <v>20000</v>
      </c>
      <c r="AI19" s="0" t="n">
        <v>20000</v>
      </c>
      <c r="AJ19" s="0" t="n">
        <v>20000</v>
      </c>
      <c r="AK19" s="0" t="n">
        <v>20000</v>
      </c>
      <c r="AL19" s="0" t="n">
        <v>20000</v>
      </c>
      <c r="AM19" s="92" t="n">
        <f aca="false">AVERAGE(AC19:AL19)</f>
        <v>20000</v>
      </c>
    </row>
    <row r="20" customFormat="false" ht="31.3" hidden="false" customHeight="false" outlineLevel="0" collapsed="false">
      <c r="B20" s="81" t="s">
        <v>24</v>
      </c>
      <c r="C20" s="82" t="s">
        <v>25</v>
      </c>
      <c r="D20" s="91" t="n">
        <v>1500</v>
      </c>
      <c r="E20" s="0" t="n">
        <v>3541</v>
      </c>
      <c r="F20" s="0" t="n">
        <v>2748</v>
      </c>
      <c r="G20" s="0" t="n">
        <v>1778</v>
      </c>
      <c r="H20" s="0" t="n">
        <v>1460</v>
      </c>
      <c r="I20" s="0" t="n">
        <v>1822</v>
      </c>
      <c r="J20" s="0" t="n">
        <v>1103</v>
      </c>
      <c r="K20" s="0" t="n">
        <v>1987</v>
      </c>
      <c r="L20" s="0" t="n">
        <v>1700</v>
      </c>
      <c r="M20" s="0" t="n">
        <v>1569</v>
      </c>
      <c r="N20" s="0" t="n">
        <v>1456</v>
      </c>
      <c r="O20" s="92" t="n">
        <f aca="false">AVERAGE(E20:N20)</f>
        <v>1916.4</v>
      </c>
      <c r="P20" s="93" t="n">
        <v>100000000</v>
      </c>
      <c r="Q20" s="0" t="n">
        <v>72088688</v>
      </c>
      <c r="R20" s="0" t="n">
        <v>126872735</v>
      </c>
      <c r="S20" s="0" t="n">
        <v>139034703</v>
      </c>
      <c r="T20" s="0" t="n">
        <v>82875715</v>
      </c>
      <c r="U20" s="0" t="n">
        <v>143627422</v>
      </c>
      <c r="V20" s="0" t="n">
        <v>122816802</v>
      </c>
      <c r="W20" s="0" t="n">
        <v>21861591</v>
      </c>
      <c r="X20" s="0" t="n">
        <v>176757303</v>
      </c>
      <c r="Y20" s="0" t="n">
        <v>128722298</v>
      </c>
      <c r="Z20" s="0" t="n">
        <v>104850540</v>
      </c>
      <c r="AA20" s="92" t="n">
        <f aca="false">AVERAGE(Q20:Z20)</f>
        <v>111950779.7</v>
      </c>
      <c r="AB20" s="93" t="n">
        <v>100000000</v>
      </c>
      <c r="AC20" s="0" t="n">
        <v>72108687</v>
      </c>
      <c r="AD20" s="0" t="n">
        <v>126892734</v>
      </c>
      <c r="AE20" s="0" t="n">
        <v>139054702</v>
      </c>
      <c r="AF20" s="0" t="n">
        <v>82895714</v>
      </c>
      <c r="AG20" s="0" t="n">
        <v>143647421</v>
      </c>
      <c r="AH20" s="0" t="n">
        <v>122836801</v>
      </c>
      <c r="AI20" s="0" t="n">
        <v>21881590</v>
      </c>
      <c r="AJ20" s="0" t="n">
        <v>176777302</v>
      </c>
      <c r="AK20" s="0" t="n">
        <v>128742297</v>
      </c>
      <c r="AL20" s="0" t="n">
        <v>104870539</v>
      </c>
      <c r="AM20" s="92" t="n">
        <f aca="false">AVERAGE(AC20:AL20)</f>
        <v>111970778.7</v>
      </c>
    </row>
    <row r="21" customFormat="false" ht="19.7" hidden="false" customHeight="false" outlineLevel="0" collapsed="false">
      <c r="B21" s="81" t="s">
        <v>26</v>
      </c>
      <c r="C21" s="82" t="s">
        <v>27</v>
      </c>
      <c r="D21" s="91" t="n">
        <v>1500</v>
      </c>
      <c r="E21" s="0" t="n">
        <v>3553</v>
      </c>
      <c r="F21" s="0" t="n">
        <v>2754</v>
      </c>
      <c r="G21" s="0" t="n">
        <v>1784</v>
      </c>
      <c r="H21" s="0" t="n">
        <v>1465</v>
      </c>
      <c r="I21" s="0" t="n">
        <v>1828</v>
      </c>
      <c r="J21" s="0" t="n">
        <v>1104</v>
      </c>
      <c r="K21" s="0" t="n">
        <v>1995</v>
      </c>
      <c r="L21" s="0" t="n">
        <v>1706</v>
      </c>
      <c r="M21" s="0" t="n">
        <v>1574</v>
      </c>
      <c r="N21" s="0" t="n">
        <v>1460</v>
      </c>
      <c r="O21" s="92" t="n">
        <f aca="false">AVERAGE(E21:N21)</f>
        <v>1922.3</v>
      </c>
      <c r="P21" s="93" t="n">
        <v>100000000</v>
      </c>
      <c r="Q21" s="0" t="n">
        <v>19999</v>
      </c>
      <c r="R21" s="0" t="n">
        <v>19999</v>
      </c>
      <c r="S21" s="0" t="n">
        <v>19999</v>
      </c>
      <c r="T21" s="0" t="n">
        <v>19999</v>
      </c>
      <c r="U21" s="0" t="n">
        <v>19999</v>
      </c>
      <c r="V21" s="0" t="n">
        <v>19999</v>
      </c>
      <c r="W21" s="0" t="n">
        <v>19999</v>
      </c>
      <c r="X21" s="0" t="n">
        <v>19999</v>
      </c>
      <c r="Y21" s="0" t="n">
        <v>19999</v>
      </c>
      <c r="Z21" s="0" t="n">
        <v>19999</v>
      </c>
      <c r="AA21" s="92" t="n">
        <f aca="false">AVERAGE(Q21:Z21)</f>
        <v>19999</v>
      </c>
      <c r="AB21" s="34" t="n">
        <v>100000000</v>
      </c>
      <c r="AC21" s="0" t="n">
        <v>72241891</v>
      </c>
      <c r="AD21" s="0" t="n">
        <v>127052449</v>
      </c>
      <c r="AE21" s="0" t="n">
        <v>139168856</v>
      </c>
      <c r="AF21" s="0" t="n">
        <v>83059977</v>
      </c>
      <c r="AG21" s="0" t="n">
        <v>143792688</v>
      </c>
      <c r="AH21" s="0" t="n">
        <v>122975060</v>
      </c>
      <c r="AI21" s="0" t="n">
        <v>21957680</v>
      </c>
      <c r="AJ21" s="0" t="n">
        <v>176878430</v>
      </c>
      <c r="AK21" s="0" t="n">
        <v>128873459</v>
      </c>
      <c r="AL21" s="0" t="n">
        <v>105077475</v>
      </c>
      <c r="AM21" s="92" t="n">
        <f aca="false">AVERAGE(AC21:AL21)</f>
        <v>112107796.5</v>
      </c>
    </row>
    <row r="22" customFormat="false" ht="19.7" hidden="false" customHeight="false" outlineLevel="0" collapsed="false">
      <c r="B22" s="81" t="s">
        <v>28</v>
      </c>
      <c r="C22" s="82" t="s">
        <v>27</v>
      </c>
      <c r="D22" s="95" t="n">
        <v>250</v>
      </c>
      <c r="E22" s="0" t="n">
        <v>3604</v>
      </c>
      <c r="F22" s="0" t="n">
        <v>2759</v>
      </c>
      <c r="G22" s="0" t="n">
        <v>1788</v>
      </c>
      <c r="H22" s="0" t="n">
        <v>1469</v>
      </c>
      <c r="I22" s="0" t="n">
        <v>1834</v>
      </c>
      <c r="J22" s="0" t="n">
        <v>1118</v>
      </c>
      <c r="K22" s="0" t="n">
        <v>2000</v>
      </c>
      <c r="L22" s="0" t="n">
        <v>1710</v>
      </c>
      <c r="M22" s="0" t="n">
        <v>1581</v>
      </c>
      <c r="N22" s="0" t="n">
        <v>1465</v>
      </c>
      <c r="O22" s="92" t="n">
        <f aca="false">AVERAGE(E22:N22)</f>
        <v>1932.8</v>
      </c>
      <c r="P22" s="93" t="n">
        <v>286000</v>
      </c>
      <c r="Q22" s="0" t="n">
        <v>3631750</v>
      </c>
      <c r="R22" s="0" t="n">
        <v>828217</v>
      </c>
      <c r="S22" s="0" t="n">
        <v>749581</v>
      </c>
      <c r="T22" s="0" t="n">
        <v>818647</v>
      </c>
      <c r="U22" s="0" t="n">
        <v>902747</v>
      </c>
      <c r="V22" s="0" t="n">
        <v>707778</v>
      </c>
      <c r="W22" s="0" t="n">
        <v>2459110</v>
      </c>
      <c r="X22" s="0" t="n">
        <v>893571</v>
      </c>
      <c r="Y22" s="0" t="n">
        <v>623702</v>
      </c>
      <c r="Z22" s="0" t="n">
        <v>1277372</v>
      </c>
      <c r="AA22" s="92" t="n">
        <f aca="false">AVERAGE(Q22:Z22)</f>
        <v>1289247.5</v>
      </c>
      <c r="AB22" s="34" t="n">
        <v>286000</v>
      </c>
      <c r="AC22" s="0" t="n">
        <v>3605258</v>
      </c>
      <c r="AD22" s="0" t="n">
        <v>741762</v>
      </c>
      <c r="AE22" s="0" t="n">
        <v>616128</v>
      </c>
      <c r="AF22" s="0" t="n">
        <v>690063</v>
      </c>
      <c r="AG22" s="0" t="n">
        <v>824684</v>
      </c>
      <c r="AH22" s="0" t="n">
        <v>546670</v>
      </c>
      <c r="AI22" s="0" t="n">
        <v>2403540</v>
      </c>
      <c r="AJ22" s="0" t="n">
        <v>617223</v>
      </c>
      <c r="AK22" s="0" t="n">
        <v>470521</v>
      </c>
      <c r="AL22" s="0" t="n">
        <v>1213269</v>
      </c>
      <c r="AM22" s="92" t="n">
        <f aca="false">AVERAGE(AC22:AL22)</f>
        <v>1172911.8</v>
      </c>
    </row>
    <row r="23" customFormat="false" ht="19.7" hidden="false" customHeight="false" outlineLevel="0" collapsed="false">
      <c r="B23" s="83" t="s">
        <v>29</v>
      </c>
      <c r="C23" s="84" t="s">
        <v>30</v>
      </c>
      <c r="D23" s="96" t="n">
        <v>200</v>
      </c>
      <c r="E23" s="0" t="n">
        <v>3634</v>
      </c>
      <c r="F23" s="0" t="n">
        <v>2768</v>
      </c>
      <c r="G23" s="0" t="n">
        <v>1793</v>
      </c>
      <c r="H23" s="0" t="n">
        <v>1471</v>
      </c>
      <c r="I23" s="0" t="n">
        <v>1839</v>
      </c>
      <c r="J23" s="0" t="n">
        <v>1122</v>
      </c>
      <c r="K23" s="0" t="n">
        <v>2005</v>
      </c>
      <c r="L23" s="0" t="n">
        <v>1714</v>
      </c>
      <c r="M23" s="0" t="n">
        <v>1586</v>
      </c>
      <c r="N23" s="0" t="n">
        <v>1469</v>
      </c>
      <c r="O23" s="92" t="n">
        <f aca="false">AVERAGE(E23:N23)</f>
        <v>1940.1</v>
      </c>
      <c r="P23" s="97" t="n">
        <v>286000</v>
      </c>
      <c r="Q23" s="0" t="n">
        <v>217202</v>
      </c>
      <c r="R23" s="0" t="n">
        <v>221377</v>
      </c>
      <c r="S23" s="0" t="n">
        <v>211909</v>
      </c>
      <c r="T23" s="0" t="n">
        <v>220346</v>
      </c>
      <c r="U23" s="0" t="n">
        <v>220985</v>
      </c>
      <c r="V23" s="0" t="n">
        <v>219215</v>
      </c>
      <c r="W23" s="0" t="n">
        <v>210093</v>
      </c>
      <c r="X23" s="0" t="n">
        <v>217462</v>
      </c>
      <c r="Y23" s="0" t="n">
        <v>220846</v>
      </c>
      <c r="Z23" s="0" t="n">
        <v>220325</v>
      </c>
      <c r="AA23" s="92" t="n">
        <f aca="false">AVERAGE(Q23:Z23)</f>
        <v>217976</v>
      </c>
      <c r="AB23" s="97" t="n">
        <v>286000</v>
      </c>
      <c r="AC23" s="0" t="n">
        <v>287232</v>
      </c>
      <c r="AD23" s="0" t="n">
        <v>287232</v>
      </c>
      <c r="AE23" s="0" t="n">
        <v>287232</v>
      </c>
      <c r="AF23" s="0" t="n">
        <v>287232</v>
      </c>
      <c r="AG23" s="0" t="n">
        <v>287232</v>
      </c>
      <c r="AH23" s="0" t="n">
        <v>287232</v>
      </c>
      <c r="AI23" s="0" t="n">
        <v>287232</v>
      </c>
      <c r="AJ23" s="0" t="n">
        <v>287232</v>
      </c>
      <c r="AK23" s="0" t="n">
        <v>287232</v>
      </c>
      <c r="AL23" s="0" t="n">
        <v>287232</v>
      </c>
      <c r="AM23" s="92" t="n">
        <f aca="false">AVERAGE(AC23:AL23)</f>
        <v>287232</v>
      </c>
    </row>
    <row r="24" customFormat="false" ht="19.7" hidden="false" customHeight="false" outlineLevel="0" collapsed="false">
      <c r="B24" s="85" t="s">
        <v>31</v>
      </c>
      <c r="C24" s="86" t="s">
        <v>32</v>
      </c>
      <c r="D24" s="98" t="n">
        <v>75</v>
      </c>
      <c r="E24" s="0" t="n">
        <v>3638</v>
      </c>
      <c r="F24" s="0" t="n">
        <v>2770</v>
      </c>
      <c r="G24" s="0" t="n">
        <v>1795</v>
      </c>
      <c r="H24" s="0" t="n">
        <v>1183</v>
      </c>
      <c r="I24" s="0" t="n">
        <v>1840</v>
      </c>
      <c r="J24" s="0" t="n">
        <v>1124</v>
      </c>
      <c r="K24" s="0" t="n">
        <v>2006</v>
      </c>
      <c r="L24" s="0" t="n">
        <v>1715</v>
      </c>
      <c r="M24" s="0" t="n">
        <v>1587</v>
      </c>
      <c r="N24" s="0" t="n">
        <v>1471</v>
      </c>
      <c r="O24" s="92" t="n">
        <f aca="false">AVERAGE(E24:N24)</f>
        <v>1912.9</v>
      </c>
      <c r="P24" s="93" t="n">
        <v>80000</v>
      </c>
      <c r="Q24" s="0" t="n">
        <v>297202</v>
      </c>
      <c r="R24" s="0" t="n">
        <v>301377</v>
      </c>
      <c r="S24" s="0" t="n">
        <v>271909</v>
      </c>
      <c r="T24" s="0" t="n">
        <v>280346</v>
      </c>
      <c r="U24" s="0" t="n">
        <v>280985</v>
      </c>
      <c r="V24" s="0" t="n">
        <v>279215</v>
      </c>
      <c r="W24" s="0" t="n">
        <v>290093</v>
      </c>
      <c r="X24" s="0" t="n">
        <v>277462</v>
      </c>
      <c r="Y24" s="0" t="n">
        <v>280846</v>
      </c>
      <c r="Z24" s="0" t="n">
        <v>280325</v>
      </c>
      <c r="AA24" s="92" t="n">
        <f aca="false">AVERAGE(Q24:Z24)</f>
        <v>283976</v>
      </c>
      <c r="AB24" s="66" t="n">
        <v>80000</v>
      </c>
      <c r="AC24" s="0" t="n">
        <v>367308</v>
      </c>
      <c r="AD24" s="0" t="n">
        <v>367308</v>
      </c>
      <c r="AE24" s="0" t="n">
        <v>347289</v>
      </c>
      <c r="AF24" s="0" t="n">
        <v>347289</v>
      </c>
      <c r="AG24" s="0" t="n">
        <v>347289</v>
      </c>
      <c r="AH24" s="0" t="n">
        <v>347289</v>
      </c>
      <c r="AI24" s="0" t="n">
        <v>367308</v>
      </c>
      <c r="AJ24" s="0" t="n">
        <v>347289</v>
      </c>
      <c r="AK24" s="0" t="n">
        <v>347289</v>
      </c>
      <c r="AL24" s="0" t="n">
        <v>347289</v>
      </c>
      <c r="AM24" s="92" t="n">
        <f aca="false">AVERAGE(AC24:AL24)</f>
        <v>353294.7</v>
      </c>
    </row>
    <row r="49" customFormat="false" ht="14.25" hidden="false" customHeight="false" outlineLevel="0" collapsed="false">
      <c r="C49" s="2" t="n">
        <v>40487900</v>
      </c>
      <c r="D49" s="2" t="n">
        <v>38929800</v>
      </c>
      <c r="E49" s="2" t="n">
        <v>40598700</v>
      </c>
      <c r="F49" s="2" t="n">
        <v>37994500</v>
      </c>
      <c r="G49" s="2" t="n">
        <v>39030400</v>
      </c>
    </row>
    <row r="50" customFormat="false" ht="14.25" hidden="false" customHeight="false" outlineLevel="0" collapsed="false">
      <c r="C50" s="2" t="n">
        <v>1041700</v>
      </c>
      <c r="D50" s="2" t="n">
        <v>763900</v>
      </c>
      <c r="E50" s="2" t="n">
        <v>897200</v>
      </c>
      <c r="F50" s="2" t="n">
        <v>904800</v>
      </c>
      <c r="G50" s="2" t="n">
        <v>1076300</v>
      </c>
    </row>
    <row r="51" customFormat="false" ht="14.25" hidden="false" customHeight="false" outlineLevel="0" collapsed="false">
      <c r="C51" s="2" t="n">
        <v>28316400</v>
      </c>
      <c r="D51" s="2" t="n">
        <v>28959200</v>
      </c>
      <c r="E51" s="2" t="n">
        <v>29387200</v>
      </c>
      <c r="F51" s="2" t="n">
        <v>28380700</v>
      </c>
      <c r="G51" s="2" t="n">
        <v>29108200</v>
      </c>
    </row>
    <row r="52" customFormat="false" ht="14.25" hidden="false" customHeight="false" outlineLevel="0" collapsed="false">
      <c r="C52" s="2" t="n">
        <v>789900</v>
      </c>
      <c r="D52" s="2" t="n">
        <v>654900</v>
      </c>
      <c r="E52" s="2" t="n">
        <v>619800</v>
      </c>
      <c r="F52" s="2" t="n">
        <v>702200</v>
      </c>
      <c r="G52" s="2" t="n">
        <v>765000</v>
      </c>
    </row>
    <row r="53" customFormat="false" ht="14.25" hidden="false" customHeight="false" outlineLevel="0" collapsed="false">
      <c r="C53" s="2" t="n">
        <v>33085400</v>
      </c>
      <c r="D53" s="2" t="n">
        <v>32454700</v>
      </c>
      <c r="E53" s="2" t="n">
        <v>31823900</v>
      </c>
      <c r="F53" s="2" t="n">
        <v>32723200</v>
      </c>
      <c r="G53" s="2" t="n">
        <v>33355900</v>
      </c>
    </row>
    <row r="54" customFormat="false" ht="14.25" hidden="false" customHeight="false" outlineLevel="0" collapsed="false">
      <c r="C54" s="2" t="n">
        <v>135200</v>
      </c>
      <c r="D54" s="2" t="n">
        <v>122800</v>
      </c>
      <c r="E54" s="2" t="n">
        <v>121700</v>
      </c>
      <c r="F54" s="2" t="n">
        <v>133900</v>
      </c>
      <c r="G54" s="2" t="n">
        <v>130600</v>
      </c>
    </row>
    <row r="55" customFormat="false" ht="14.25" hidden="false" customHeight="false" outlineLevel="0" collapsed="false">
      <c r="C55" s="2" t="n">
        <v>391900</v>
      </c>
      <c r="D55" s="2" t="n">
        <v>369700</v>
      </c>
      <c r="E55" s="2" t="n">
        <v>359700</v>
      </c>
      <c r="F55" s="2" t="n">
        <v>396200</v>
      </c>
      <c r="G55" s="2" t="n">
        <v>396500</v>
      </c>
    </row>
    <row r="56" customFormat="false" ht="14.25" hidden="false" customHeight="false" outlineLevel="0" collapsed="false">
      <c r="C56" s="2" t="n">
        <v>451600</v>
      </c>
      <c r="D56" s="2" t="n">
        <v>425000</v>
      </c>
      <c r="E56" s="2" t="n">
        <v>416100</v>
      </c>
      <c r="F56" s="2" t="n">
        <v>454500</v>
      </c>
      <c r="G56" s="2" t="n">
        <v>446900</v>
      </c>
    </row>
    <row r="57" customFormat="false" ht="14.25" hidden="false" customHeight="false" outlineLevel="0" collapsed="false">
      <c r="C57" s="2" t="n">
        <v>32227600</v>
      </c>
      <c r="D57" s="2" t="n">
        <v>33173300</v>
      </c>
      <c r="E57" s="2" t="n">
        <v>30628800</v>
      </c>
      <c r="F57" s="2" t="n">
        <v>30867900</v>
      </c>
      <c r="G57" s="2" t="n">
        <v>30592800</v>
      </c>
    </row>
    <row r="58" customFormat="false" ht="14.25" hidden="false" customHeight="false" outlineLevel="0" collapsed="false">
      <c r="C58" s="2"/>
      <c r="D58" s="2"/>
      <c r="E58" s="2"/>
      <c r="F58" s="2"/>
      <c r="G58" s="2"/>
    </row>
    <row r="59" customFormat="false" ht="14.25" hidden="false" customHeight="false" outlineLevel="0" collapsed="false">
      <c r="C59" s="2" t="n">
        <v>4070632500</v>
      </c>
      <c r="D59" s="2" t="n">
        <v>3916273600</v>
      </c>
      <c r="E59" s="2" t="n">
        <v>3912912000</v>
      </c>
      <c r="F59" s="2" t="n">
        <v>3883502200</v>
      </c>
      <c r="G59" s="2" t="n">
        <v>4046147300</v>
      </c>
    </row>
    <row r="60" customFormat="false" ht="14.25" hidden="false" customHeight="false" outlineLevel="0" collapsed="false">
      <c r="C60" s="2" t="n">
        <v>12442500</v>
      </c>
      <c r="D60" s="2" t="n">
        <v>13210900</v>
      </c>
      <c r="E60" s="2" t="n">
        <v>10435500</v>
      </c>
      <c r="F60" s="2" t="n">
        <v>11862400</v>
      </c>
      <c r="G60" s="2" t="n">
        <v>12064800</v>
      </c>
    </row>
    <row r="61" customFormat="false" ht="14.25" hidden="false" customHeight="false" outlineLevel="0" collapsed="false">
      <c r="C61" s="2" t="n">
        <v>2859760200</v>
      </c>
      <c r="D61" s="2" t="n">
        <v>2878537400</v>
      </c>
      <c r="E61" s="2" t="n">
        <v>2814107600</v>
      </c>
      <c r="F61" s="2" t="n">
        <v>2875314500</v>
      </c>
      <c r="G61" s="2" t="n">
        <v>2808641000</v>
      </c>
    </row>
    <row r="62" customFormat="false" ht="14.25" hidden="false" customHeight="false" outlineLevel="0" collapsed="false">
      <c r="C62" s="2" t="n">
        <v>8602100</v>
      </c>
      <c r="D62" s="2" t="n">
        <v>10342100</v>
      </c>
      <c r="E62" s="2" t="n">
        <v>7311500</v>
      </c>
      <c r="F62" s="2" t="n">
        <v>11243600</v>
      </c>
      <c r="G62" s="2" t="n">
        <v>7808200</v>
      </c>
    </row>
    <row r="63" customFormat="false" ht="14.25" hidden="false" customHeight="false" outlineLevel="0" collapsed="false">
      <c r="C63" s="2" t="n">
        <v>3171913300</v>
      </c>
      <c r="D63" s="2" t="n">
        <v>3273408900</v>
      </c>
      <c r="E63" s="2" t="n">
        <v>3196386100</v>
      </c>
      <c r="F63" s="2" t="n">
        <v>3256364800</v>
      </c>
      <c r="G63" s="2" t="n">
        <v>3170991800</v>
      </c>
    </row>
    <row r="64" customFormat="false" ht="14.25" hidden="false" customHeight="false" outlineLevel="0" collapsed="false">
      <c r="C64" s="2" t="n">
        <v>1744700</v>
      </c>
      <c r="D64" s="2" t="n">
        <v>1294600</v>
      </c>
      <c r="E64" s="2" t="n">
        <v>1253400</v>
      </c>
      <c r="F64" s="2" t="n">
        <v>1282200</v>
      </c>
      <c r="G64" s="2" t="n">
        <v>1259200</v>
      </c>
    </row>
    <row r="65" customFormat="false" ht="14.25" hidden="false" customHeight="false" outlineLevel="0" collapsed="false">
      <c r="C65" s="2" t="n">
        <v>4870800</v>
      </c>
      <c r="D65" s="2" t="n">
        <v>4560400</v>
      </c>
      <c r="E65" s="2" t="n">
        <v>4553600</v>
      </c>
      <c r="F65" s="2" t="n">
        <v>4619000</v>
      </c>
      <c r="G65" s="2" t="n">
        <v>4596900</v>
      </c>
    </row>
    <row r="66" customFormat="false" ht="14.25" hidden="false" customHeight="false" outlineLevel="0" collapsed="false">
      <c r="C66" s="2" t="n">
        <v>5428100</v>
      </c>
      <c r="D66" s="2" t="n">
        <v>5941300</v>
      </c>
      <c r="E66" s="2" t="n">
        <v>4860400</v>
      </c>
      <c r="F66" s="2" t="n">
        <v>4922400</v>
      </c>
      <c r="G66" s="2" t="n">
        <v>4778800</v>
      </c>
    </row>
    <row r="67" customFormat="false" ht="14.25" hidden="false" customHeight="false" outlineLevel="0" collapsed="false">
      <c r="C67" s="2" t="n">
        <v>3054730000</v>
      </c>
      <c r="D67" s="2" t="n">
        <v>2998137100</v>
      </c>
      <c r="E67" s="2" t="n">
        <v>3008030800</v>
      </c>
      <c r="F67" s="2" t="n">
        <v>2961089500</v>
      </c>
      <c r="G67" s="2" t="n">
        <v>3017060200</v>
      </c>
    </row>
  </sheetData>
  <mergeCells count="12">
    <mergeCell ref="D3:E3"/>
    <mergeCell ref="F3:G3"/>
    <mergeCell ref="H3:AJ3"/>
    <mergeCell ref="D4:N4"/>
    <mergeCell ref="O4:Y4"/>
    <mergeCell ref="Z4:AJ4"/>
    <mergeCell ref="D15:E15"/>
    <mergeCell ref="F15:G15"/>
    <mergeCell ref="H15:AM15"/>
    <mergeCell ref="D16:O16"/>
    <mergeCell ref="P16:AA16"/>
    <mergeCell ref="AB16:AM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AM24"/>
  <sheetViews>
    <sheetView showFormulas="false" showGridLines="true" showRowColHeaders="true" showZeros="true" rightToLeft="false" tabSelected="true" showOutlineSymbols="true" defaultGridColor="true" view="normal" topLeftCell="Z1" colorId="64" zoomScale="50" zoomScaleNormal="50" zoomScalePageLayoutView="100" workbookViewId="0">
      <selection pane="topLeft" activeCell="AL32" activeCellId="0" sqref="AL3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33.11"/>
    <col collapsed="false" customWidth="true" hidden="false" outlineLevel="0" max="3" min="3" style="1" width="10.67"/>
    <col collapsed="false" customWidth="true" hidden="false" outlineLevel="0" max="39" min="4" style="1" width="10.22"/>
  </cols>
  <sheetData>
    <row r="3" customFormat="false" ht="27" hidden="false" customHeight="true" outlineLevel="0" collapsed="false">
      <c r="D3" s="67" t="s">
        <v>14</v>
      </c>
      <c r="E3" s="67"/>
      <c r="F3" s="68" t="n">
        <v>10000</v>
      </c>
      <c r="G3" s="68"/>
      <c r="H3" s="69" t="s">
        <v>36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</row>
    <row r="4" customFormat="false" ht="24.75" hidden="false" customHeight="true" outlineLevel="0" collapsed="false">
      <c r="D4" s="70" t="s">
        <v>4</v>
      </c>
      <c r="E4" s="70"/>
      <c r="F4" s="70"/>
      <c r="G4" s="70"/>
      <c r="H4" s="70"/>
      <c r="I4" s="70"/>
      <c r="J4" s="70"/>
      <c r="K4" s="70"/>
      <c r="L4" s="70"/>
      <c r="M4" s="70"/>
      <c r="N4" s="70"/>
      <c r="O4" s="70" t="s">
        <v>5</v>
      </c>
      <c r="P4" s="70"/>
      <c r="Q4" s="70"/>
      <c r="R4" s="70"/>
      <c r="S4" s="70"/>
      <c r="T4" s="70"/>
      <c r="U4" s="70"/>
      <c r="V4" s="70"/>
      <c r="W4" s="70"/>
      <c r="X4" s="70"/>
      <c r="Y4" s="70"/>
      <c r="Z4" s="70" t="s">
        <v>16</v>
      </c>
      <c r="AA4" s="70"/>
      <c r="AB4" s="70"/>
      <c r="AC4" s="70"/>
      <c r="AD4" s="70"/>
      <c r="AE4" s="70"/>
      <c r="AF4" s="70"/>
      <c r="AG4" s="70"/>
      <c r="AH4" s="70"/>
      <c r="AI4" s="70"/>
      <c r="AJ4" s="70"/>
    </row>
    <row r="5" customFormat="false" ht="35.25" hidden="false" customHeight="true" outlineLevel="0" collapsed="false">
      <c r="B5" s="71" t="s">
        <v>17</v>
      </c>
      <c r="C5" s="72" t="s">
        <v>18</v>
      </c>
      <c r="D5" s="73" t="n">
        <v>1</v>
      </c>
      <c r="E5" s="74" t="n">
        <v>2</v>
      </c>
      <c r="F5" s="74" t="n">
        <v>3</v>
      </c>
      <c r="G5" s="74" t="n">
        <v>4</v>
      </c>
      <c r="H5" s="74" t="n">
        <v>5</v>
      </c>
      <c r="I5" s="74" t="n">
        <v>6</v>
      </c>
      <c r="J5" s="74" t="n">
        <v>7</v>
      </c>
      <c r="K5" s="74" t="n">
        <v>8</v>
      </c>
      <c r="L5" s="74" t="n">
        <v>9</v>
      </c>
      <c r="M5" s="75" t="n">
        <v>10</v>
      </c>
      <c r="N5" s="76" t="s">
        <v>19</v>
      </c>
      <c r="O5" s="73" t="n">
        <v>1</v>
      </c>
      <c r="P5" s="74" t="n">
        <v>2</v>
      </c>
      <c r="Q5" s="74" t="n">
        <v>3</v>
      </c>
      <c r="R5" s="74" t="n">
        <v>4</v>
      </c>
      <c r="S5" s="74" t="n">
        <v>5</v>
      </c>
      <c r="T5" s="74" t="n">
        <v>6</v>
      </c>
      <c r="U5" s="74" t="n">
        <v>7</v>
      </c>
      <c r="V5" s="74" t="n">
        <v>8</v>
      </c>
      <c r="W5" s="74" t="n">
        <v>9</v>
      </c>
      <c r="X5" s="75" t="n">
        <v>10</v>
      </c>
      <c r="Y5" s="76" t="s">
        <v>19</v>
      </c>
      <c r="Z5" s="73" t="n">
        <v>1</v>
      </c>
      <c r="AA5" s="74" t="n">
        <v>2</v>
      </c>
      <c r="AB5" s="74" t="n">
        <v>3</v>
      </c>
      <c r="AC5" s="74" t="n">
        <v>4</v>
      </c>
      <c r="AD5" s="74" t="n">
        <v>5</v>
      </c>
      <c r="AE5" s="74" t="n">
        <v>6</v>
      </c>
      <c r="AF5" s="74" t="n">
        <v>7</v>
      </c>
      <c r="AG5" s="74" t="n">
        <v>8</v>
      </c>
      <c r="AH5" s="74" t="n">
        <v>9</v>
      </c>
      <c r="AI5" s="75" t="n">
        <v>10</v>
      </c>
      <c r="AJ5" s="76" t="s">
        <v>19</v>
      </c>
    </row>
    <row r="6" customFormat="false" ht="19.7" hidden="false" customHeight="false" outlineLevel="0" collapsed="false">
      <c r="B6" s="77" t="s">
        <v>20</v>
      </c>
      <c r="C6" s="78" t="s">
        <v>21</v>
      </c>
      <c r="D6" s="0" t="n">
        <v>371</v>
      </c>
      <c r="E6" s="0" t="n">
        <v>281</v>
      </c>
      <c r="F6" s="0" t="n">
        <v>229</v>
      </c>
      <c r="G6" s="0" t="n">
        <v>191</v>
      </c>
      <c r="H6" s="0" t="n">
        <v>190</v>
      </c>
      <c r="I6" s="0" t="n">
        <v>188</v>
      </c>
      <c r="J6" s="0" t="n">
        <v>189</v>
      </c>
      <c r="K6" s="0" t="n">
        <v>187</v>
      </c>
      <c r="L6" s="0" t="n">
        <v>186</v>
      </c>
      <c r="M6" s="0" t="n">
        <v>187</v>
      </c>
      <c r="N6" s="48" t="n">
        <f aca="false">AVERAGE(D6:M6)</f>
        <v>219.9</v>
      </c>
      <c r="O6" s="0" t="n">
        <v>49995000</v>
      </c>
      <c r="P6" s="0" t="n">
        <v>49995000</v>
      </c>
      <c r="Q6" s="0" t="n">
        <v>49995000</v>
      </c>
      <c r="R6" s="0" t="n">
        <v>49995000</v>
      </c>
      <c r="S6" s="0" t="n">
        <v>49995000</v>
      </c>
      <c r="T6" s="0" t="n">
        <v>49995000</v>
      </c>
      <c r="U6" s="0" t="n">
        <v>49995000</v>
      </c>
      <c r="V6" s="0" t="n">
        <v>49995000</v>
      </c>
      <c r="W6" s="0" t="n">
        <v>49995000</v>
      </c>
      <c r="X6" s="0" t="n">
        <v>49995000</v>
      </c>
      <c r="Y6" s="48" t="n">
        <f aca="false">AVERAGE(O6:X6)</f>
        <v>49995000</v>
      </c>
      <c r="Z6" s="0" t="n">
        <v>24979401</v>
      </c>
      <c r="AA6" s="0" t="n">
        <v>24973387</v>
      </c>
      <c r="AB6" s="0" t="n">
        <v>24969858</v>
      </c>
      <c r="AC6" s="0" t="n">
        <v>24949355</v>
      </c>
      <c r="AD6" s="0" t="n">
        <v>24950072</v>
      </c>
      <c r="AE6" s="0" t="n">
        <v>24971514</v>
      </c>
      <c r="AF6" s="0" t="n">
        <v>24944010</v>
      </c>
      <c r="AG6" s="0" t="n">
        <v>24971509</v>
      </c>
      <c r="AH6" s="0" t="n">
        <v>24975403</v>
      </c>
      <c r="AI6" s="0" t="n">
        <v>24965914</v>
      </c>
      <c r="AJ6" s="48" t="n">
        <f aca="false">AVERAGE(Z6:AI6)</f>
        <v>24965042.3</v>
      </c>
    </row>
    <row r="7" customFormat="false" ht="19.7" hidden="false" customHeight="false" outlineLevel="0" collapsed="false">
      <c r="B7" s="81" t="s">
        <v>22</v>
      </c>
      <c r="C7" s="82" t="s">
        <v>23</v>
      </c>
      <c r="D7" s="0" t="n">
        <v>596</v>
      </c>
      <c r="E7" s="0" t="n">
        <v>444</v>
      </c>
      <c r="F7" s="0" t="n">
        <v>361</v>
      </c>
      <c r="G7" s="0" t="n">
        <v>314</v>
      </c>
      <c r="H7" s="0" t="n">
        <v>310</v>
      </c>
      <c r="I7" s="0" t="n">
        <v>309</v>
      </c>
      <c r="J7" s="0" t="n">
        <v>309</v>
      </c>
      <c r="K7" s="0" t="n">
        <v>307</v>
      </c>
      <c r="L7" s="0" t="n">
        <v>306</v>
      </c>
      <c r="M7" s="0" t="n">
        <v>307</v>
      </c>
      <c r="N7" s="48" t="n">
        <f aca="false">AVERAGE(D7:M7)</f>
        <v>356.3</v>
      </c>
      <c r="O7" s="0" t="n">
        <v>49995000</v>
      </c>
      <c r="P7" s="0" t="n">
        <v>49995000</v>
      </c>
      <c r="Q7" s="0" t="n">
        <v>49995000</v>
      </c>
      <c r="R7" s="0" t="n">
        <v>49995000</v>
      </c>
      <c r="S7" s="0" t="n">
        <v>49995000</v>
      </c>
      <c r="T7" s="0" t="n">
        <v>49995000</v>
      </c>
      <c r="U7" s="0" t="n">
        <v>49995000</v>
      </c>
      <c r="V7" s="0" t="n">
        <v>49995000</v>
      </c>
      <c r="W7" s="0" t="n">
        <v>49995000</v>
      </c>
      <c r="X7" s="0" t="n">
        <v>49995000</v>
      </c>
      <c r="Y7" s="48" t="n">
        <f aca="false">AVERAGE(O7:X7)</f>
        <v>49995000</v>
      </c>
      <c r="Z7" s="0" t="n">
        <v>10000</v>
      </c>
      <c r="AA7" s="0" t="n">
        <v>10000</v>
      </c>
      <c r="AB7" s="0" t="n">
        <v>10000</v>
      </c>
      <c r="AC7" s="0" t="n">
        <v>10000</v>
      </c>
      <c r="AD7" s="0" t="n">
        <v>10000</v>
      </c>
      <c r="AE7" s="0" t="n">
        <v>10000</v>
      </c>
      <c r="AF7" s="0" t="n">
        <v>10000</v>
      </c>
      <c r="AG7" s="0" t="n">
        <v>10000</v>
      </c>
      <c r="AH7" s="0" t="n">
        <v>10000</v>
      </c>
      <c r="AI7" s="0" t="n">
        <v>10000</v>
      </c>
      <c r="AJ7" s="48" t="n">
        <f aca="false">AVERAGE(Z7:AI7)</f>
        <v>10000</v>
      </c>
    </row>
    <row r="8" customFormat="false" ht="19.7" hidden="false" customHeight="false" outlineLevel="0" collapsed="false">
      <c r="B8" s="81" t="s">
        <v>24</v>
      </c>
      <c r="C8" s="82" t="s">
        <v>25</v>
      </c>
      <c r="D8" s="0" t="n">
        <v>744</v>
      </c>
      <c r="E8" s="0" t="n">
        <v>550</v>
      </c>
      <c r="F8" s="0" t="n">
        <v>448</v>
      </c>
      <c r="G8" s="0" t="n">
        <v>399</v>
      </c>
      <c r="H8" s="0" t="n">
        <v>395</v>
      </c>
      <c r="I8" s="0" t="n">
        <v>392</v>
      </c>
      <c r="J8" s="0" t="n">
        <v>392</v>
      </c>
      <c r="K8" s="0" t="n">
        <v>390</v>
      </c>
      <c r="L8" s="0" t="n">
        <v>389</v>
      </c>
      <c r="M8" s="0" t="n">
        <v>390</v>
      </c>
      <c r="N8" s="48" t="n">
        <f aca="false">AVERAGE(D8:M8)</f>
        <v>448.9</v>
      </c>
      <c r="O8" s="0" t="n">
        <v>24979401</v>
      </c>
      <c r="P8" s="0" t="n">
        <v>24973387</v>
      </c>
      <c r="Q8" s="0" t="n">
        <v>24969858</v>
      </c>
      <c r="R8" s="0" t="n">
        <v>24949355</v>
      </c>
      <c r="S8" s="0" t="n">
        <v>24950072</v>
      </c>
      <c r="T8" s="0" t="n">
        <v>24950072</v>
      </c>
      <c r="U8" s="0" t="n">
        <v>24944010</v>
      </c>
      <c r="V8" s="0" t="n">
        <v>24971509</v>
      </c>
      <c r="W8" s="0" t="n">
        <v>24975403</v>
      </c>
      <c r="X8" s="0" t="n">
        <v>24965914</v>
      </c>
      <c r="Y8" s="48" t="n">
        <f aca="false">AVERAGE(O8:X8)</f>
        <v>24962898.1</v>
      </c>
      <c r="Z8" s="0" t="n">
        <v>24989400</v>
      </c>
      <c r="AA8" s="0" t="n">
        <v>24983386</v>
      </c>
      <c r="AB8" s="0" t="n">
        <v>24979857</v>
      </c>
      <c r="AC8" s="0" t="n">
        <v>24959354</v>
      </c>
      <c r="AD8" s="0" t="n">
        <v>24960071</v>
      </c>
      <c r="AE8" s="0" t="n">
        <v>24981513</v>
      </c>
      <c r="AF8" s="0" t="n">
        <v>24954009</v>
      </c>
      <c r="AG8" s="0" t="n">
        <v>24981508</v>
      </c>
      <c r="AH8" s="0" t="n">
        <v>24985402</v>
      </c>
      <c r="AI8" s="0" t="n">
        <v>24975913</v>
      </c>
      <c r="AJ8" s="48" t="n">
        <f aca="false">AVERAGE(Z8:AI8)</f>
        <v>24975041.3</v>
      </c>
    </row>
    <row r="9" customFormat="false" ht="19.7" hidden="false" customHeight="false" outlineLevel="0" collapsed="false">
      <c r="B9" s="81" t="s">
        <v>26</v>
      </c>
      <c r="C9" s="82" t="s">
        <v>27</v>
      </c>
      <c r="D9" s="0" t="n">
        <v>747</v>
      </c>
      <c r="E9" s="0" t="n">
        <v>552</v>
      </c>
      <c r="F9" s="0" t="n">
        <v>449</v>
      </c>
      <c r="G9" s="0" t="n">
        <v>400</v>
      </c>
      <c r="H9" s="0" t="n">
        <v>396</v>
      </c>
      <c r="I9" s="0" t="n">
        <v>393</v>
      </c>
      <c r="J9" s="0" t="n">
        <v>393</v>
      </c>
      <c r="K9" s="0" t="n">
        <v>391</v>
      </c>
      <c r="L9" s="0" t="n">
        <v>390</v>
      </c>
      <c r="M9" s="0" t="n">
        <v>391</v>
      </c>
      <c r="N9" s="48" t="n">
        <f aca="false">AVERAGE(D9:M9)</f>
        <v>450.2</v>
      </c>
      <c r="O9" s="0" t="n">
        <v>9999</v>
      </c>
      <c r="P9" s="0" t="n">
        <v>9999</v>
      </c>
      <c r="Q9" s="0" t="n">
        <v>9999</v>
      </c>
      <c r="R9" s="0" t="n">
        <v>9999</v>
      </c>
      <c r="S9" s="0" t="n">
        <v>9999</v>
      </c>
      <c r="T9" s="0" t="n">
        <v>9999</v>
      </c>
      <c r="U9" s="0" t="n">
        <v>9999</v>
      </c>
      <c r="V9" s="0" t="n">
        <v>9999</v>
      </c>
      <c r="W9" s="0" t="n">
        <v>9999</v>
      </c>
      <c r="X9" s="0" t="n">
        <v>9999</v>
      </c>
      <c r="Y9" s="48" t="n">
        <f aca="false">AVERAGE(O9:X9)</f>
        <v>9999</v>
      </c>
      <c r="Z9" s="0" t="n">
        <v>25005126</v>
      </c>
      <c r="AA9" s="0" t="n">
        <v>25005476</v>
      </c>
      <c r="AB9" s="0" t="n">
        <v>25000978</v>
      </c>
      <c r="AC9" s="0" t="n">
        <v>25001887</v>
      </c>
      <c r="AD9" s="0" t="n">
        <v>24998805</v>
      </c>
      <c r="AE9" s="0" t="n">
        <v>25001833</v>
      </c>
      <c r="AF9" s="0" t="n">
        <v>24998967</v>
      </c>
      <c r="AG9" s="0" t="n">
        <v>25010334</v>
      </c>
      <c r="AH9" s="0" t="n">
        <v>25002880</v>
      </c>
      <c r="AI9" s="0" t="n">
        <v>25001813</v>
      </c>
      <c r="AJ9" s="48" t="n">
        <f aca="false">AVERAGE(Z9:AI9)</f>
        <v>25002809.9</v>
      </c>
    </row>
    <row r="10" customFormat="false" ht="19.7" hidden="false" customHeight="false" outlineLevel="0" collapsed="false">
      <c r="B10" s="81" t="s">
        <v>28</v>
      </c>
      <c r="C10" s="82" t="s">
        <v>27</v>
      </c>
      <c r="D10" s="0" t="n">
        <v>749</v>
      </c>
      <c r="E10" s="0" t="n">
        <v>554</v>
      </c>
      <c r="F10" s="0" t="n">
        <v>450</v>
      </c>
      <c r="G10" s="0" t="n">
        <v>402</v>
      </c>
      <c r="H10" s="0" t="n">
        <v>398</v>
      </c>
      <c r="I10" s="0" t="n">
        <v>394</v>
      </c>
      <c r="J10" s="0" t="n">
        <v>394</v>
      </c>
      <c r="K10" s="0" t="n">
        <v>393</v>
      </c>
      <c r="L10" s="0" t="n">
        <v>392</v>
      </c>
      <c r="M10" s="0" t="n">
        <v>393</v>
      </c>
      <c r="N10" s="48" t="n">
        <f aca="false">AVERAGE(D10:M10)</f>
        <v>451.9</v>
      </c>
      <c r="O10" s="0" t="n">
        <v>248181</v>
      </c>
      <c r="P10" s="0" t="n">
        <v>272513</v>
      </c>
      <c r="Q10" s="0" t="n">
        <v>234613</v>
      </c>
      <c r="R10" s="0" t="n">
        <v>225953</v>
      </c>
      <c r="S10" s="0" t="n">
        <v>241255</v>
      </c>
      <c r="T10" s="0" t="n">
        <v>241255</v>
      </c>
      <c r="U10" s="0" t="n">
        <v>223556</v>
      </c>
      <c r="V10" s="0" t="n">
        <v>273291</v>
      </c>
      <c r="W10" s="0" t="n">
        <v>347771</v>
      </c>
      <c r="X10" s="0" t="n">
        <v>220949</v>
      </c>
      <c r="Y10" s="48" t="n">
        <f aca="false">AVERAGE(O10:X10)</f>
        <v>252933.7</v>
      </c>
      <c r="Z10" s="0" t="n">
        <v>154775</v>
      </c>
      <c r="AA10" s="0" t="n">
        <v>213074</v>
      </c>
      <c r="AB10" s="0" t="n">
        <v>154738</v>
      </c>
      <c r="AC10" s="0" t="n">
        <v>182488</v>
      </c>
      <c r="AD10" s="0" t="n">
        <v>176513</v>
      </c>
      <c r="AE10" s="0" t="n">
        <v>194979</v>
      </c>
      <c r="AF10" s="0" t="n">
        <v>166537</v>
      </c>
      <c r="AG10" s="0" t="n">
        <v>176680</v>
      </c>
      <c r="AH10" s="0" t="n">
        <v>208165</v>
      </c>
      <c r="AI10" s="0" t="n">
        <v>172501</v>
      </c>
      <c r="AJ10" s="48" t="n">
        <f aca="false">AVERAGE(Z10:AI10)</f>
        <v>180045</v>
      </c>
    </row>
    <row r="11" customFormat="false" ht="19.7" hidden="false" customHeight="false" outlineLevel="0" collapsed="false">
      <c r="B11" s="83" t="s">
        <v>29</v>
      </c>
      <c r="C11" s="84" t="s">
        <v>30</v>
      </c>
      <c r="D11" s="0" t="n">
        <v>762</v>
      </c>
      <c r="E11" s="0" t="n">
        <v>561</v>
      </c>
      <c r="F11" s="0" t="n">
        <v>452</v>
      </c>
      <c r="G11" s="0" t="n">
        <v>404</v>
      </c>
      <c r="H11" s="0" t="n">
        <v>400</v>
      </c>
      <c r="I11" s="0" t="n">
        <v>396</v>
      </c>
      <c r="J11" s="0" t="n">
        <v>397</v>
      </c>
      <c r="K11" s="0" t="n">
        <v>395</v>
      </c>
      <c r="L11" s="0" t="n">
        <v>394</v>
      </c>
      <c r="M11" s="0" t="n">
        <v>395</v>
      </c>
      <c r="N11" s="48" t="n">
        <f aca="false">AVERAGE(D11:M11)</f>
        <v>455.6</v>
      </c>
      <c r="O11" s="0" t="n">
        <v>110963</v>
      </c>
      <c r="P11" s="0" t="n">
        <v>113315</v>
      </c>
      <c r="Q11" s="0" t="n">
        <v>112818</v>
      </c>
      <c r="R11" s="0" t="n">
        <v>114288</v>
      </c>
      <c r="S11" s="0" t="n">
        <v>112522</v>
      </c>
      <c r="T11" s="0" t="n">
        <v>112522</v>
      </c>
      <c r="U11" s="0" t="n">
        <v>114683</v>
      </c>
      <c r="V11" s="0" t="n">
        <v>114108</v>
      </c>
      <c r="W11" s="0" t="n">
        <v>110721</v>
      </c>
      <c r="X11" s="0" t="n">
        <v>112858</v>
      </c>
      <c r="Y11" s="48" t="n">
        <f aca="false">AVERAGE(O11:X11)</f>
        <v>112879.8</v>
      </c>
      <c r="Z11" s="0" t="n">
        <v>133616</v>
      </c>
      <c r="AA11" s="0" t="n">
        <v>133616</v>
      </c>
      <c r="AB11" s="0" t="n">
        <v>133616</v>
      </c>
      <c r="AC11" s="0" t="n">
        <v>133616</v>
      </c>
      <c r="AD11" s="0" t="n">
        <v>133616</v>
      </c>
      <c r="AE11" s="0" t="n">
        <v>133616</v>
      </c>
      <c r="AF11" s="0" t="n">
        <v>133616</v>
      </c>
      <c r="AG11" s="0" t="n">
        <v>133616</v>
      </c>
      <c r="AH11" s="0" t="n">
        <v>133616</v>
      </c>
      <c r="AI11" s="0" t="n">
        <v>133616</v>
      </c>
      <c r="AJ11" s="48" t="n">
        <f aca="false">AVERAGE(Z11:AI11)</f>
        <v>133616</v>
      </c>
    </row>
    <row r="12" customFormat="false" ht="19.7" hidden="false" customHeight="false" outlineLevel="0" collapsed="false">
      <c r="B12" s="85" t="s">
        <v>31</v>
      </c>
      <c r="C12" s="86" t="s">
        <v>32</v>
      </c>
      <c r="D12" s="0" t="n">
        <v>763</v>
      </c>
      <c r="E12" s="0" t="n">
        <v>562</v>
      </c>
      <c r="F12" s="0" t="n">
        <v>453</v>
      </c>
      <c r="G12" s="0" t="n">
        <v>405</v>
      </c>
      <c r="H12" s="0" t="n">
        <v>401</v>
      </c>
      <c r="I12" s="0" t="n">
        <v>397</v>
      </c>
      <c r="J12" s="0" t="n">
        <v>398</v>
      </c>
      <c r="K12" s="0" t="n">
        <v>395</v>
      </c>
      <c r="L12" s="0" t="n">
        <v>395</v>
      </c>
      <c r="M12" s="0" t="n">
        <v>395</v>
      </c>
      <c r="N12" s="48" t="n">
        <f aca="false">AVERAGE(D12:M12)</f>
        <v>456.4</v>
      </c>
      <c r="O12" s="0" t="n">
        <v>140963</v>
      </c>
      <c r="P12" s="0" t="n">
        <v>143315</v>
      </c>
      <c r="Q12" s="0" t="n">
        <v>142818</v>
      </c>
      <c r="R12" s="0" t="n">
        <v>144288</v>
      </c>
      <c r="S12" s="0" t="n">
        <v>142522</v>
      </c>
      <c r="T12" s="0" t="n">
        <v>142522</v>
      </c>
      <c r="U12" s="0" t="n">
        <v>144683</v>
      </c>
      <c r="V12" s="0" t="n">
        <v>144108</v>
      </c>
      <c r="W12" s="0" t="n">
        <v>140721</v>
      </c>
      <c r="X12" s="0" t="n">
        <v>142858</v>
      </c>
      <c r="Y12" s="48" t="n">
        <f aca="false">AVERAGE(O12:X12)</f>
        <v>142879.8</v>
      </c>
      <c r="Z12" s="0" t="n">
        <v>163673</v>
      </c>
      <c r="AA12" s="0" t="n">
        <v>163673</v>
      </c>
      <c r="AB12" s="0" t="n">
        <v>163673</v>
      </c>
      <c r="AC12" s="0" t="n">
        <v>163673</v>
      </c>
      <c r="AD12" s="0" t="n">
        <v>163673</v>
      </c>
      <c r="AE12" s="0" t="n">
        <v>163673</v>
      </c>
      <c r="AF12" s="0" t="n">
        <v>163673</v>
      </c>
      <c r="AG12" s="0" t="n">
        <v>163673</v>
      </c>
      <c r="AH12" s="0" t="n">
        <v>163673</v>
      </c>
      <c r="AI12" s="0" t="n">
        <v>163673</v>
      </c>
      <c r="AJ12" s="48" t="n">
        <f aca="false">AVERAGE(Z12:AI12)</f>
        <v>163673</v>
      </c>
    </row>
    <row r="15" customFormat="false" ht="24.45" hidden="false" customHeight="false" outlineLevel="0" collapsed="false">
      <c r="D15" s="67" t="s">
        <v>14</v>
      </c>
      <c r="E15" s="67"/>
      <c r="F15" s="68" t="n">
        <v>20000</v>
      </c>
      <c r="G15" s="68"/>
      <c r="H15" s="69" t="s">
        <v>36</v>
      </c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</row>
    <row r="16" customFormat="false" ht="22.05" hidden="false" customHeight="false" outlineLevel="0" collapsed="false">
      <c r="D16" s="70" t="s">
        <v>4</v>
      </c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 t="s">
        <v>5</v>
      </c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 t="s">
        <v>16</v>
      </c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</row>
    <row r="17" customFormat="false" ht="34.3" hidden="false" customHeight="false" outlineLevel="0" collapsed="false">
      <c r="B17" s="71" t="s">
        <v>17</v>
      </c>
      <c r="C17" s="72" t="s">
        <v>18</v>
      </c>
      <c r="D17" s="88" t="s">
        <v>33</v>
      </c>
      <c r="E17" s="89" t="n">
        <v>1</v>
      </c>
      <c r="F17" s="89" t="n">
        <v>2</v>
      </c>
      <c r="G17" s="89" t="n">
        <v>3</v>
      </c>
      <c r="H17" s="89" t="n">
        <v>4</v>
      </c>
      <c r="I17" s="89" t="n">
        <v>5</v>
      </c>
      <c r="J17" s="89" t="n">
        <v>6</v>
      </c>
      <c r="K17" s="89" t="n">
        <v>7</v>
      </c>
      <c r="L17" s="89" t="n">
        <v>8</v>
      </c>
      <c r="M17" s="89" t="n">
        <v>9</v>
      </c>
      <c r="N17" s="89" t="n">
        <v>10</v>
      </c>
      <c r="O17" s="90" t="s">
        <v>19</v>
      </c>
      <c r="P17" s="88" t="s">
        <v>33</v>
      </c>
      <c r="Q17" s="89" t="n">
        <v>1</v>
      </c>
      <c r="R17" s="89" t="n">
        <v>2</v>
      </c>
      <c r="S17" s="89" t="n">
        <v>3</v>
      </c>
      <c r="T17" s="89" t="n">
        <v>4</v>
      </c>
      <c r="U17" s="89" t="n">
        <v>5</v>
      </c>
      <c r="V17" s="89" t="n">
        <v>6</v>
      </c>
      <c r="W17" s="89" t="n">
        <v>7</v>
      </c>
      <c r="X17" s="89" t="n">
        <v>8</v>
      </c>
      <c r="Y17" s="89" t="n">
        <v>9</v>
      </c>
      <c r="Z17" s="89" t="n">
        <v>10</v>
      </c>
      <c r="AA17" s="90" t="s">
        <v>19</v>
      </c>
      <c r="AB17" s="88" t="s">
        <v>33</v>
      </c>
      <c r="AC17" s="89" t="n">
        <v>1</v>
      </c>
      <c r="AD17" s="89" t="n">
        <v>2</v>
      </c>
      <c r="AE17" s="89" t="n">
        <v>3</v>
      </c>
      <c r="AF17" s="89" t="n">
        <v>4</v>
      </c>
      <c r="AG17" s="89" t="n">
        <v>5</v>
      </c>
      <c r="AH17" s="89" t="n">
        <v>6</v>
      </c>
      <c r="AI17" s="89" t="n">
        <v>7</v>
      </c>
      <c r="AJ17" s="89" t="n">
        <v>8</v>
      </c>
      <c r="AK17" s="89" t="n">
        <v>9</v>
      </c>
      <c r="AL17" s="89" t="n">
        <v>10</v>
      </c>
      <c r="AM17" s="90" t="s">
        <v>19</v>
      </c>
    </row>
    <row r="18" customFormat="false" ht="19.7" hidden="false" customHeight="false" outlineLevel="0" collapsed="false">
      <c r="B18" s="77" t="s">
        <v>20</v>
      </c>
      <c r="C18" s="78" t="s">
        <v>21</v>
      </c>
      <c r="D18" s="91" t="n">
        <v>2250</v>
      </c>
      <c r="E18" s="0" t="n">
        <v>1755</v>
      </c>
      <c r="F18" s="0" t="n">
        <v>795</v>
      </c>
      <c r="G18" s="0" t="n">
        <v>756</v>
      </c>
      <c r="H18" s="0" t="n">
        <v>764</v>
      </c>
      <c r="I18" s="0" t="n">
        <v>750</v>
      </c>
      <c r="J18" s="0" t="n">
        <v>750</v>
      </c>
      <c r="K18" s="0" t="n">
        <v>756</v>
      </c>
      <c r="L18" s="0" t="n">
        <v>748</v>
      </c>
      <c r="M18" s="0" t="n">
        <v>760</v>
      </c>
      <c r="N18" s="0" t="n">
        <v>751</v>
      </c>
      <c r="O18" s="92" t="n">
        <f aca="false">AVERAGE(E18:N18)</f>
        <v>858.5</v>
      </c>
      <c r="P18" s="99" t="n">
        <v>200000000</v>
      </c>
      <c r="Q18" s="0" t="n">
        <v>199990000</v>
      </c>
      <c r="R18" s="0" t="n">
        <v>199990000</v>
      </c>
      <c r="S18" s="0" t="n">
        <v>199990000</v>
      </c>
      <c r="T18" s="0" t="n">
        <v>199990000</v>
      </c>
      <c r="U18" s="0" t="n">
        <v>199990000</v>
      </c>
      <c r="V18" s="0" t="n">
        <v>199990000</v>
      </c>
      <c r="W18" s="0" t="n">
        <v>199990000</v>
      </c>
      <c r="X18" s="0" t="n">
        <v>199990000</v>
      </c>
      <c r="Y18" s="0" t="n">
        <v>199990000</v>
      </c>
      <c r="Z18" s="0" t="n">
        <v>199990000</v>
      </c>
      <c r="AA18" s="92" t="n">
        <f aca="false">AVERAGE(Q18:Z18)</f>
        <v>199990000</v>
      </c>
      <c r="AB18" s="99" t="n">
        <v>100000000</v>
      </c>
      <c r="AC18" s="0" t="n">
        <v>99945765</v>
      </c>
      <c r="AD18" s="0" t="n">
        <v>99925223</v>
      </c>
      <c r="AE18" s="0" t="n">
        <v>99920571</v>
      </c>
      <c r="AF18" s="0" t="n">
        <v>99895555</v>
      </c>
      <c r="AG18" s="0" t="n">
        <v>99931073</v>
      </c>
      <c r="AH18" s="0" t="n">
        <v>99910071</v>
      </c>
      <c r="AI18" s="0" t="n">
        <v>99846895</v>
      </c>
      <c r="AJ18" s="0" t="n">
        <v>99908410</v>
      </c>
      <c r="AK18" s="0" t="n">
        <v>99889400</v>
      </c>
      <c r="AL18" s="0" t="n">
        <v>99905385</v>
      </c>
      <c r="AM18" s="92" t="n">
        <f aca="false">AVERAGE(AC18:AL18)</f>
        <v>99907834.8</v>
      </c>
    </row>
    <row r="19" customFormat="false" ht="19.7" hidden="false" customHeight="false" outlineLevel="0" collapsed="false">
      <c r="B19" s="81" t="s">
        <v>22</v>
      </c>
      <c r="C19" s="82" t="s">
        <v>23</v>
      </c>
      <c r="D19" s="91" t="n">
        <v>1500</v>
      </c>
      <c r="E19" s="0" t="n">
        <v>2712</v>
      </c>
      <c r="F19" s="0" t="n">
        <v>1287</v>
      </c>
      <c r="G19" s="0" t="n">
        <v>1240</v>
      </c>
      <c r="H19" s="0" t="n">
        <v>1239</v>
      </c>
      <c r="I19" s="0" t="n">
        <v>1227</v>
      </c>
      <c r="J19" s="0" t="n">
        <v>1228</v>
      </c>
      <c r="K19" s="0" t="n">
        <v>1230</v>
      </c>
      <c r="L19" s="0" t="n">
        <v>1228</v>
      </c>
      <c r="M19" s="0" t="n">
        <v>1239</v>
      </c>
      <c r="N19" s="0" t="n">
        <v>1229</v>
      </c>
      <c r="O19" s="92" t="n">
        <f aca="false">AVERAGE(E19:N19)</f>
        <v>1385.9</v>
      </c>
      <c r="P19" s="34" t="n">
        <v>199990000</v>
      </c>
      <c r="Q19" s="0" t="n">
        <v>199990000</v>
      </c>
      <c r="R19" s="0" t="n">
        <v>199990000</v>
      </c>
      <c r="S19" s="0" t="n">
        <v>199990000</v>
      </c>
      <c r="T19" s="0" t="n">
        <v>199990000</v>
      </c>
      <c r="U19" s="0" t="n">
        <v>199990000</v>
      </c>
      <c r="V19" s="0" t="n">
        <v>199990000</v>
      </c>
      <c r="W19" s="0" t="n">
        <v>199990000</v>
      </c>
      <c r="X19" s="0" t="n">
        <v>199990000</v>
      </c>
      <c r="Y19" s="0" t="n">
        <v>199990000</v>
      </c>
      <c r="Z19" s="0" t="n">
        <v>199990000</v>
      </c>
      <c r="AA19" s="92" t="n">
        <f aca="false">AVERAGE(Q19:Z19)</f>
        <v>199990000</v>
      </c>
      <c r="AB19" s="34" t="n">
        <v>20000</v>
      </c>
      <c r="AC19" s="0" t="n">
        <v>20000</v>
      </c>
      <c r="AD19" s="0" t="n">
        <v>20000</v>
      </c>
      <c r="AE19" s="0" t="n">
        <v>20000</v>
      </c>
      <c r="AF19" s="0" t="n">
        <v>20000</v>
      </c>
      <c r="AG19" s="0" t="n">
        <v>20000</v>
      </c>
      <c r="AH19" s="0" t="n">
        <v>20000</v>
      </c>
      <c r="AI19" s="0" t="n">
        <v>20000</v>
      </c>
      <c r="AJ19" s="0" t="n">
        <v>20000</v>
      </c>
      <c r="AK19" s="0" t="n">
        <v>20000</v>
      </c>
      <c r="AL19" s="0" t="n">
        <v>20000</v>
      </c>
      <c r="AM19" s="92" t="n">
        <f aca="false">AVERAGE(AC19:AL19)</f>
        <v>20000</v>
      </c>
    </row>
    <row r="20" customFormat="false" ht="19.7" hidden="false" customHeight="false" outlineLevel="0" collapsed="false">
      <c r="B20" s="81" t="s">
        <v>24</v>
      </c>
      <c r="C20" s="82" t="s">
        <v>25</v>
      </c>
      <c r="D20" s="91" t="n">
        <v>1500</v>
      </c>
      <c r="E20" s="0" t="n">
        <v>3199</v>
      </c>
      <c r="F20" s="0" t="n">
        <v>1622</v>
      </c>
      <c r="G20" s="0" t="n">
        <v>1570</v>
      </c>
      <c r="H20" s="0" t="n">
        <v>1570</v>
      </c>
      <c r="I20" s="0" t="n">
        <v>1559</v>
      </c>
      <c r="J20" s="0" t="n">
        <v>1559</v>
      </c>
      <c r="K20" s="0" t="n">
        <v>1562</v>
      </c>
      <c r="L20" s="0" t="n">
        <v>1617</v>
      </c>
      <c r="M20" s="0" t="n">
        <v>1570</v>
      </c>
      <c r="N20" s="0" t="n">
        <v>1561</v>
      </c>
      <c r="O20" s="92" t="n">
        <f aca="false">AVERAGE(E20:N20)</f>
        <v>1738.9</v>
      </c>
      <c r="P20" s="34" t="n">
        <v>100000000</v>
      </c>
      <c r="Q20" s="0" t="n">
        <v>99945765</v>
      </c>
      <c r="R20" s="0" t="n">
        <v>99925223</v>
      </c>
      <c r="S20" s="0" t="n">
        <v>99920571</v>
      </c>
      <c r="T20" s="0" t="n">
        <v>99895555</v>
      </c>
      <c r="U20" s="0" t="n">
        <v>99931073</v>
      </c>
      <c r="V20" s="0" t="n">
        <v>99910071</v>
      </c>
      <c r="W20" s="0" t="n">
        <v>99846895</v>
      </c>
      <c r="X20" s="0" t="n">
        <v>99908410</v>
      </c>
      <c r="Y20" s="0" t="n">
        <v>99889400</v>
      </c>
      <c r="Z20" s="0" t="n">
        <v>99905385</v>
      </c>
      <c r="AA20" s="92" t="n">
        <f aca="false">AVERAGE(Q20:Z20)</f>
        <v>99907834.8</v>
      </c>
      <c r="AB20" s="34" t="n">
        <v>100000000</v>
      </c>
      <c r="AC20" s="0" t="n">
        <v>99965764</v>
      </c>
      <c r="AD20" s="0" t="n">
        <v>99945222</v>
      </c>
      <c r="AE20" s="0" t="n">
        <v>99940570</v>
      </c>
      <c r="AF20" s="0" t="n">
        <v>99915554</v>
      </c>
      <c r="AG20" s="0" t="n">
        <v>99951072</v>
      </c>
      <c r="AH20" s="0" t="n">
        <v>99930070</v>
      </c>
      <c r="AI20" s="0" t="n">
        <v>99866894</v>
      </c>
      <c r="AJ20" s="0" t="n">
        <v>99928409</v>
      </c>
      <c r="AK20" s="0" t="n">
        <v>99909399</v>
      </c>
      <c r="AL20" s="0" t="n">
        <v>99925384</v>
      </c>
      <c r="AM20" s="92" t="n">
        <f aca="false">AVERAGE(AC20:AL20)</f>
        <v>99927833.8</v>
      </c>
    </row>
    <row r="21" customFormat="false" ht="19.7" hidden="false" customHeight="false" outlineLevel="0" collapsed="false">
      <c r="B21" s="81" t="s">
        <v>26</v>
      </c>
      <c r="C21" s="82" t="s">
        <v>27</v>
      </c>
      <c r="D21" s="91" t="n">
        <v>1500</v>
      </c>
      <c r="E21" s="0" t="n">
        <v>3205</v>
      </c>
      <c r="F21" s="0" t="n">
        <v>1627</v>
      </c>
      <c r="G21" s="0" t="n">
        <v>1575</v>
      </c>
      <c r="H21" s="0" t="n">
        <v>1574</v>
      </c>
      <c r="I21" s="0" t="n">
        <v>1563</v>
      </c>
      <c r="J21" s="0" t="n">
        <v>1564</v>
      </c>
      <c r="K21" s="0" t="n">
        <v>1566</v>
      </c>
      <c r="L21" s="0" t="n">
        <v>1622</v>
      </c>
      <c r="M21" s="0" t="n">
        <v>1575</v>
      </c>
      <c r="N21" s="0" t="n">
        <v>1566</v>
      </c>
      <c r="O21" s="92" t="n">
        <f aca="false">AVERAGE(E21:N21)</f>
        <v>1743.7</v>
      </c>
      <c r="P21" s="34" t="n">
        <v>100000000</v>
      </c>
      <c r="Q21" s="0" t="n">
        <v>19999</v>
      </c>
      <c r="R21" s="0" t="n">
        <v>19999</v>
      </c>
      <c r="S21" s="0" t="n">
        <v>19999</v>
      </c>
      <c r="T21" s="0" t="n">
        <v>19999</v>
      </c>
      <c r="U21" s="0" t="n">
        <v>19999</v>
      </c>
      <c r="V21" s="0" t="n">
        <v>19999</v>
      </c>
      <c r="W21" s="0" t="n">
        <v>19999</v>
      </c>
      <c r="X21" s="0" t="n">
        <v>19999</v>
      </c>
      <c r="Y21" s="0" t="n">
        <v>19999</v>
      </c>
      <c r="Z21" s="0" t="n">
        <v>19999</v>
      </c>
      <c r="AA21" s="92" t="n">
        <f aca="false">AVERAGE(Q21:Z21)</f>
        <v>19999</v>
      </c>
      <c r="AB21" s="34" t="n">
        <v>100000000</v>
      </c>
      <c r="AC21" s="0" t="n">
        <v>100008337</v>
      </c>
      <c r="AD21" s="0" t="n">
        <v>100003588</v>
      </c>
      <c r="AE21" s="0" t="n">
        <v>100010632</v>
      </c>
      <c r="AF21" s="0" t="n">
        <v>100000650</v>
      </c>
      <c r="AG21" s="0" t="n">
        <v>100005186</v>
      </c>
      <c r="AH21" s="0" t="n">
        <v>100002275</v>
      </c>
      <c r="AI21" s="0" t="n">
        <v>100005321</v>
      </c>
      <c r="AJ21" s="0" t="n">
        <v>100006298</v>
      </c>
      <c r="AK21" s="0" t="n">
        <v>100008894</v>
      </c>
      <c r="AL21" s="0" t="n">
        <v>100007400</v>
      </c>
      <c r="AM21" s="92" t="n">
        <f aca="false">AVERAGE(AC21:AL21)</f>
        <v>100005858.1</v>
      </c>
    </row>
    <row r="22" customFormat="false" ht="19.7" hidden="false" customHeight="false" outlineLevel="0" collapsed="false">
      <c r="B22" s="81" t="s">
        <v>28</v>
      </c>
      <c r="C22" s="82" t="s">
        <v>27</v>
      </c>
      <c r="D22" s="95" t="n">
        <v>250</v>
      </c>
      <c r="E22" s="0" t="n">
        <v>3210</v>
      </c>
      <c r="F22" s="0" t="n">
        <v>1632</v>
      </c>
      <c r="G22" s="0" t="n">
        <v>1579</v>
      </c>
      <c r="H22" s="0" t="n">
        <v>1578</v>
      </c>
      <c r="I22" s="0" t="n">
        <v>1569</v>
      </c>
      <c r="J22" s="0" t="n">
        <v>1567</v>
      </c>
      <c r="K22" s="0" t="n">
        <v>1571</v>
      </c>
      <c r="L22" s="0" t="n">
        <v>1626</v>
      </c>
      <c r="M22" s="0" t="n">
        <v>1580</v>
      </c>
      <c r="N22" s="0" t="n">
        <v>1570</v>
      </c>
      <c r="O22" s="92" t="n">
        <f aca="false">AVERAGE(E22:N22)</f>
        <v>1748.2</v>
      </c>
      <c r="P22" s="34" t="n">
        <v>286000</v>
      </c>
      <c r="Q22" s="0" t="n">
        <v>638310</v>
      </c>
      <c r="R22" s="0" t="n">
        <v>903359</v>
      </c>
      <c r="S22" s="0" t="n">
        <v>649797</v>
      </c>
      <c r="T22" s="0" t="n">
        <v>530077</v>
      </c>
      <c r="U22" s="0" t="n">
        <v>884683</v>
      </c>
      <c r="V22" s="0" t="n">
        <v>519865</v>
      </c>
      <c r="W22" s="0" t="n">
        <v>720248</v>
      </c>
      <c r="X22" s="0" t="n">
        <v>647754</v>
      </c>
      <c r="Y22" s="0" t="n">
        <v>868341</v>
      </c>
      <c r="Z22" s="0" t="n">
        <v>634714</v>
      </c>
      <c r="AA22" s="92" t="n">
        <f aca="false">AVERAGE(Q22:Z22)</f>
        <v>699714.8</v>
      </c>
      <c r="AB22" s="34" t="n">
        <v>250000</v>
      </c>
      <c r="AC22" s="0" t="n">
        <v>454216</v>
      </c>
      <c r="AD22" s="0" t="n">
        <v>807421</v>
      </c>
      <c r="AE22" s="0" t="n">
        <v>536662</v>
      </c>
      <c r="AF22" s="0" t="n">
        <v>391859</v>
      </c>
      <c r="AG22" s="0" t="n">
        <v>804470</v>
      </c>
      <c r="AH22" s="0" t="n">
        <v>353904</v>
      </c>
      <c r="AI22" s="0" t="n">
        <v>646253</v>
      </c>
      <c r="AJ22" s="0" t="n">
        <v>502657</v>
      </c>
      <c r="AK22" s="0" t="n">
        <v>780886</v>
      </c>
      <c r="AL22" s="0" t="n">
        <v>418263</v>
      </c>
      <c r="AM22" s="92" t="n">
        <f aca="false">AVERAGE(AC22:AL22)</f>
        <v>569659.1</v>
      </c>
    </row>
    <row r="23" customFormat="false" ht="19.7" hidden="false" customHeight="false" outlineLevel="0" collapsed="false">
      <c r="B23" s="83" t="s">
        <v>29</v>
      </c>
      <c r="C23" s="84" t="s">
        <v>30</v>
      </c>
      <c r="D23" s="96" t="n">
        <v>200</v>
      </c>
      <c r="E23" s="0" t="n">
        <v>3227</v>
      </c>
      <c r="F23" s="0" t="n">
        <v>1641</v>
      </c>
      <c r="G23" s="0" t="n">
        <v>1583</v>
      </c>
      <c r="H23" s="0" t="n">
        <v>1582</v>
      </c>
      <c r="I23" s="0" t="n">
        <v>1573</v>
      </c>
      <c r="J23" s="0" t="n">
        <v>1572</v>
      </c>
      <c r="K23" s="0" t="n">
        <v>1576</v>
      </c>
      <c r="L23" s="0" t="n">
        <v>1631</v>
      </c>
      <c r="M23" s="0" t="n">
        <v>1584</v>
      </c>
      <c r="N23" s="0" t="n">
        <v>1574</v>
      </c>
      <c r="O23" s="92" t="n">
        <f aca="false">AVERAGE(E23:N23)</f>
        <v>1754.3</v>
      </c>
      <c r="P23" s="97" t="n">
        <v>286000</v>
      </c>
      <c r="Q23" s="0" t="n">
        <v>239705</v>
      </c>
      <c r="R23" s="0" t="n">
        <v>243633</v>
      </c>
      <c r="S23" s="0" t="n">
        <v>242522</v>
      </c>
      <c r="T23" s="0" t="n">
        <v>244523</v>
      </c>
      <c r="U23" s="0" t="n">
        <v>241492</v>
      </c>
      <c r="V23" s="0" t="n">
        <v>243470</v>
      </c>
      <c r="W23" s="0" t="n">
        <v>246765</v>
      </c>
      <c r="X23" s="0" t="n">
        <v>242387</v>
      </c>
      <c r="Y23" s="0" t="n">
        <v>242912</v>
      </c>
      <c r="Z23" s="0" t="n">
        <v>242492</v>
      </c>
      <c r="AA23" s="92" t="n">
        <f aca="false">AVERAGE(Q23:Z23)</f>
        <v>242990.1</v>
      </c>
      <c r="AB23" s="97" t="n">
        <v>286000</v>
      </c>
      <c r="AC23" s="0" t="n">
        <v>287232</v>
      </c>
      <c r="AD23" s="0" t="n">
        <v>287232</v>
      </c>
      <c r="AE23" s="0" t="n">
        <v>287232</v>
      </c>
      <c r="AF23" s="0" t="n">
        <v>287232</v>
      </c>
      <c r="AG23" s="0" t="n">
        <v>287232</v>
      </c>
      <c r="AH23" s="0" t="n">
        <v>287232</v>
      </c>
      <c r="AI23" s="0" t="n">
        <v>287232</v>
      </c>
      <c r="AJ23" s="0" t="n">
        <v>287232</v>
      </c>
      <c r="AK23" s="0" t="n">
        <v>287232</v>
      </c>
      <c r="AL23" s="0" t="n">
        <v>287232</v>
      </c>
      <c r="AM23" s="92" t="n">
        <f aca="false">AVERAGE(AC23:AL23)</f>
        <v>287232</v>
      </c>
    </row>
    <row r="24" customFormat="false" ht="19.7" hidden="false" customHeight="false" outlineLevel="0" collapsed="false">
      <c r="B24" s="85" t="s">
        <v>31</v>
      </c>
      <c r="C24" s="86" t="s">
        <v>32</v>
      </c>
      <c r="D24" s="98" t="n">
        <v>75</v>
      </c>
      <c r="E24" s="0" t="n">
        <v>3229</v>
      </c>
      <c r="F24" s="0" t="n">
        <v>1643</v>
      </c>
      <c r="G24" s="0" t="n">
        <v>1585</v>
      </c>
      <c r="H24" s="0" t="n">
        <v>1583</v>
      </c>
      <c r="I24" s="0" t="n">
        <v>1575</v>
      </c>
      <c r="J24" s="0" t="n">
        <v>1573</v>
      </c>
      <c r="K24" s="0" t="n">
        <v>1578</v>
      </c>
      <c r="L24" s="0" t="n">
        <v>1633</v>
      </c>
      <c r="M24" s="0" t="n">
        <v>1586</v>
      </c>
      <c r="N24" s="0" t="n">
        <v>1576</v>
      </c>
      <c r="O24" s="92" t="n">
        <f aca="false">AVERAGE(E24:N24)</f>
        <v>1756.1</v>
      </c>
      <c r="P24" s="66" t="n">
        <v>80000</v>
      </c>
      <c r="Q24" s="0" t="n">
        <v>319705</v>
      </c>
      <c r="R24" s="0" t="n">
        <v>323633</v>
      </c>
      <c r="S24" s="0" t="n">
        <v>302522</v>
      </c>
      <c r="T24" s="0" t="n">
        <v>304523</v>
      </c>
      <c r="U24" s="0" t="n">
        <v>321492</v>
      </c>
      <c r="V24" s="0" t="n">
        <v>303470</v>
      </c>
      <c r="W24" s="0" t="n">
        <v>306765</v>
      </c>
      <c r="X24" s="0" t="n">
        <v>322387</v>
      </c>
      <c r="Y24" s="0" t="n">
        <v>302912</v>
      </c>
      <c r="Z24" s="0" t="n">
        <v>302492</v>
      </c>
      <c r="AA24" s="92" t="n">
        <f aca="false">AVERAGE(Q24:Z24)</f>
        <v>310990.1</v>
      </c>
      <c r="AB24" s="66" t="n">
        <v>80000</v>
      </c>
      <c r="AC24" s="0" t="n">
        <v>367308</v>
      </c>
      <c r="AD24" s="0" t="n">
        <v>367308</v>
      </c>
      <c r="AE24" s="0" t="n">
        <v>347289</v>
      </c>
      <c r="AF24" s="0" t="n">
        <v>347289</v>
      </c>
      <c r="AG24" s="0" t="n">
        <v>367308</v>
      </c>
      <c r="AH24" s="0" t="n">
        <v>347289</v>
      </c>
      <c r="AI24" s="0" t="n">
        <v>347289</v>
      </c>
      <c r="AJ24" s="0" t="n">
        <v>367308</v>
      </c>
      <c r="AK24" s="0" t="n">
        <v>347289</v>
      </c>
      <c r="AL24" s="0" t="n">
        <v>347289</v>
      </c>
      <c r="AM24" s="92" t="n">
        <f aca="false">AVERAGE(AC24:AL24)</f>
        <v>355296.6</v>
      </c>
    </row>
  </sheetData>
  <mergeCells count="12">
    <mergeCell ref="D3:E3"/>
    <mergeCell ref="F3:G3"/>
    <mergeCell ref="H3:AJ3"/>
    <mergeCell ref="D4:N4"/>
    <mergeCell ref="O4:Y4"/>
    <mergeCell ref="Z4:AJ4"/>
    <mergeCell ref="D15:E15"/>
    <mergeCell ref="F15:G15"/>
    <mergeCell ref="H15:AM15"/>
    <mergeCell ref="D16:O16"/>
    <mergeCell ref="P16:AA16"/>
    <mergeCell ref="AB16:AM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4" colorId="64" zoomScale="55" zoomScaleNormal="55" zoomScalePageLayoutView="100" workbookViewId="0">
      <selection pane="topLeft" activeCell="Z24" activeCellId="0" sqref="Z24"/>
    </sheetView>
  </sheetViews>
  <sheetFormatPr defaultColWidth="8.59765625" defaultRowHeight="14.25" zeroHeight="false" outlineLevelRow="0" outlineLevelCol="0"/>
  <sheetData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2021-10-04T06:57:49Z</dcterms:created>
  <dc:creator>HP Zbook</dc:creator>
  <dc:description/>
  <dc:language>sk-SK</dc:language>
  <cp:lastModifiedBy/>
  <dcterms:modified xsi:type="dcterms:W3CDTF">2024-10-16T01:40:36Z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